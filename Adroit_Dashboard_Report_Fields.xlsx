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Vikraman\Adroit\Dashboards\"/>
    </mc:Choice>
  </mc:AlternateContent>
  <xr:revisionPtr revIDLastSave="0" documentId="13_ncr:1_{A4E429E7-3B40-43B8-A2FF-1C04625E6064}" xr6:coauthVersionLast="47" xr6:coauthVersionMax="47" xr10:uidLastSave="{00000000-0000-0000-0000-000000000000}"/>
  <bookViews>
    <workbookView xWindow="-108" yWindow="372" windowWidth="23256" windowHeight="12696" firstSheet="2" activeTab="2" xr2:uid="{00000000-000D-0000-FFFF-FFFF00000000}"/>
  </bookViews>
  <sheets>
    <sheet name="Read Me" sheetId="1" r:id="rId1"/>
    <sheet name="Dashboards" sheetId="2" r:id="rId2"/>
    <sheet name="Broken Reports" sheetId="3" r:id="rId3"/>
    <sheet name="Timeline Logic" sheetId="4" r:id="rId4"/>
    <sheet name="Report Fields" sheetId="5" r:id="rId5"/>
    <sheet name="Drill-downs" sheetId="6" r:id="rId6"/>
    <sheet name="Production Not-Connected" sheetId="7" r:id="rId7"/>
    <sheet name="To Verify" sheetId="8" r:id="rId8"/>
  </sheets>
  <definedNames>
    <definedName name="_xlnm._FilterDatabase" localSheetId="5" hidden="1">'Drill-downs'!$A$1:$F$148</definedName>
    <definedName name="_xlnm._FilterDatabase" localSheetId="4" hidden="1">'Report Fields'!$A$1:$H$414</definedName>
    <definedName name="_xlnm._FilterDatabase" localSheetId="7" hidden="1">'To Verify'!$A$4:$F$110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2" l="1"/>
  <c r="H11" i="2"/>
  <c r="G11" i="2"/>
  <c r="F11" i="2"/>
  <c r="I10" i="2"/>
  <c r="H10" i="2"/>
  <c r="G10" i="2"/>
  <c r="F10" i="2"/>
  <c r="I9" i="2"/>
  <c r="H9" i="2"/>
  <c r="G9" i="2"/>
  <c r="F9" i="2"/>
  <c r="I8" i="2"/>
  <c r="H8" i="2"/>
  <c r="G8" i="2"/>
  <c r="F8" i="2"/>
  <c r="I7" i="2"/>
  <c r="H7" i="2"/>
  <c r="G7" i="2"/>
  <c r="F7" i="2"/>
  <c r="I6" i="2"/>
  <c r="H6" i="2"/>
  <c r="G6" i="2"/>
  <c r="F6" i="2"/>
  <c r="I5" i="2"/>
  <c r="H5" i="2"/>
  <c r="G5" i="2"/>
  <c r="F5" i="2"/>
  <c r="I4" i="2"/>
  <c r="H4" i="2"/>
  <c r="G4" i="2"/>
  <c r="F4" i="2"/>
  <c r="I3" i="2"/>
  <c r="H3" i="2"/>
  <c r="G3" i="2"/>
  <c r="F3" i="2"/>
  <c r="I2" i="2"/>
  <c r="H2" i="2"/>
  <c r="G2" i="2"/>
  <c r="F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Adroit dashboards</author>
  </authors>
  <commentList>
    <comment ref="A1" authorId="0" shapeId="0" xr:uid="{00000000-0006-0000-0100-000001000000}">
      <text>
        <r>
          <rPr>
            <sz val="11"/>
            <color theme="1"/>
            <rFont val="Calibri"/>
            <family val="2"/>
            <scheme val="minor"/>
          </rPr>
          <t>Reports used / Fields listed / Drill-downs / Items to verify are live counts over the other two sheets — they update if you add or remove rows there.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Adroit dashboards</author>
  </authors>
  <commentList>
    <comment ref="I1" authorId="0" shapeId="0" xr:uid="{00000000-0006-0000-0400-000001000000}">
      <text>
        <r>
          <rPr>
            <sz val="11"/>
            <color theme="1"/>
            <rFont val="Calibri"/>
            <family val="2"/>
            <scheme val="minor"/>
          </rPr>
          <t>Helper column: 1 on the first row of each Dashboard + Report pair. The Dashboards sheet sums it to count distinct reports. Hidden by design; leave it alone unless you add rows, in which case set it to 1 only for a report that does not already appear for that dashboard.</t>
        </r>
      </text>
    </comment>
  </commentList>
</comments>
</file>

<file path=xl/sharedStrings.xml><?xml version="1.0" encoding="utf-8"?>
<sst xmlns="http://schemas.openxmlformats.org/spreadsheetml/2006/main" count="4386" uniqueCount="1266">
  <si>
    <t>Adroit Dashboards — Report Field Requirements</t>
  </si>
  <si>
    <t>Which Zoho Creator report fields each dashboard needs, and why.</t>
  </si>
  <si>
    <t>What this is for</t>
  </si>
  <si>
    <t>Every dashboard reads plain Creator reports. A field that is not on the report never reaches the widget — the number silently reads as zero and the drill-down modal shows a blank column. This workbook lists every field each dashboard needs so the reports can be corrected in one pass.</t>
  </si>
  <si>
    <t>How to use it</t>
  </si>
  <si>
    <t>1. Open the 'Report Fields' sheet and filter by Dashboard, or by Status = VERIFY.</t>
  </si>
  <si>
    <t>2. For each report, open it in the Creator app builder and confirm the listed fields are on the report's columns.</t>
  </si>
  <si>
    <t>3. Fields marked ADD are new — they were introduced so the drill-down modal can show a useful, identifiable record. Add them to the report.</t>
  </si>
  <si>
    <t>4. Fields marked VERIFY are inferred link names. Confirm each one, and correct the CFG block at the top of the dashboard's .js file if it differs.</t>
  </si>
  <si>
    <t>5. Production only: open the 'Production Not-Connected' sheet for the panels that had no Deluge function behind them at all, and what each would need to go live.</t>
  </si>
  <si>
    <t>6. See the "Broken Reports" sheet for report link names that fail to load outright (wrong name, or a scan that's gone stale) — these need fixing in the Creator app builder before anything downstream can be confirmed.</t>
  </si>
  <si>
    <t>7. See the "Timeline Logic" sheet for weekly/monthly/yearly boundary issues (e.g. a chart comparing the wrong pair of years) — one is already fixed, one (which day the week starts on) needs your decision.</t>
  </si>
  <si>
    <t>Checking it live, without this spreadsheet</t>
  </si>
  <si>
    <t>Every dashboard has a small "Fields" button in the top-right corner. Click it for a modal listing every report it reads, the real field names Creator returned, and a sample record per report — no DevTools needed. Use "Copy all as text" to paste the whole thing back for review.</t>
  </si>
  <si>
    <t>Prefer the console? Press F12 and read it directly: every report fetch prints a collapsed group with the report name, the field list sent, the record count, and the field names that actually came back. A report that returns nothing is printed in amber; one that failed, in red.</t>
  </si>
  <si>
    <t>Type copy(AK.reportText()) to put that table on the clipboard, ready to paste.</t>
  </si>
  <si>
    <t>Click any number on any dashboard to open the records behind it. The same records are logged to the console, so a wrong number can be traced to the exact rows that produced it.</t>
  </si>
  <si>
    <t>Status legend</t>
  </si>
  <si>
    <t>Confirmed</t>
  </si>
  <si>
    <t>The link name is verified — either used by working code or cross-checked against another dashboard reading the same form.</t>
  </si>
  <si>
    <t>VERIFY</t>
  </si>
  <si>
    <t>Inferred. Check it against the app before go-live.</t>
  </si>
  <si>
    <t>ADD</t>
  </si>
  <si>
    <t>A new field introduced this round, so drill-down modals show identifiable records. Add it to the report's columns.</t>
  </si>
  <si>
    <t>BROKEN</t>
  </si>
  <si>
    <t>The report link name does not resolve in Creator (a live scan returned an error, not just "no records"). See the "Broken Reports" sheet.</t>
  </si>
  <si>
    <t>STALE / UNSCANNED</t>
  </si>
  <si>
    <t>Either the report name changed after the last scan, or the scan never reached this report. See the "Broken Reports" sheet.</t>
  </si>
  <si>
    <t>REMOVED</t>
  </si>
  <si>
    <t>The report was dropped from the code this session because it didn't exist; a working field on a different, already-used report now does the same job.</t>
  </si>
  <si>
    <t>Needed for legend</t>
  </si>
  <si>
    <t>Calculation</t>
  </si>
  <si>
    <t>The number on screen cannot be computed without this field.</t>
  </si>
  <si>
    <t>Drill-down</t>
  </si>
  <si>
    <t>The number computes fine, but the record modal shows this as a column.</t>
  </si>
  <si>
    <t>Both</t>
  </si>
  <si>
    <t>Used by the calculation and shown in the modal.</t>
  </si>
  <si>
    <t>Dashboard</t>
  </si>
  <si>
    <t>Department</t>
  </si>
  <si>
    <t>Folder</t>
  </si>
  <si>
    <t>Entry point</t>
  </si>
  <si>
    <t>Data source</t>
  </si>
  <si>
    <t>Reports used</t>
  </si>
  <si>
    <t>Fields listed</t>
  </si>
  <si>
    <t>Drill-downs</t>
  </si>
  <si>
    <t>Items to verify</t>
  </si>
  <si>
    <t>Notes</t>
  </si>
  <si>
    <t>servicePerformanceSummary</t>
  </si>
  <si>
    <t>Service</t>
  </si>
  <si>
    <t>service/servicePerformanceSummary</t>
  </si>
  <si>
    <t>app/widget.html + app/servicePerformance.js</t>
  </si>
  <si>
    <t>Reports (ZOHO.CREATOR.DATA.getRecords)</t>
  </si>
  <si>
    <t>CONVERTED this round from a React/Vite app to a plain JS widget. Three tabs, loaded lazily.</t>
  </si>
  <si>
    <t>serviceOverview</t>
  </si>
  <si>
    <t>service/serviceOverview</t>
  </si>
  <si>
    <t>app/widget.html + app/script.js</t>
  </si>
  <si>
    <t>Reports (getRecords, record_cursor, field_config: all)</t>
  </si>
  <si>
    <t>Retrofitted: number formatting, drill-downs, fetch logging, no-records states. Was the one dashboard still on the v1 SDK / ZOHO.CREATOR.API.getAllRecords(); switched to v2 / DATA.getRecords() to match every other dashboard.</t>
  </si>
  <si>
    <t>salesExecutiveCommandView</t>
  </si>
  <si>
    <t>Sales</t>
  </si>
  <si>
    <t>sales/salesExecutiveCommandView</t>
  </si>
  <si>
    <t>Uses field_config 'all', so no field list is sent — the fields below are the ones the code reads.</t>
  </si>
  <si>
    <t>salesPerformanceSummary</t>
  </si>
  <si>
    <t>sales/sales_performance_summary</t>
  </si>
  <si>
    <t>app/widget.html + app/salesPerformance.js</t>
  </si>
  <si>
    <t>Reports (getRecords, field_config: custom)</t>
  </si>
  <si>
    <t>Sends an explicit field list; a field missing from the report simply never arrives.</t>
  </si>
  <si>
    <t>salesKPIDashboard</t>
  </si>
  <si>
    <t>sales/salesKPIDashboard</t>
  </si>
  <si>
    <t>app/widget.html + app/salesKPI.js</t>
  </si>
  <si>
    <t>CONVERTED this round from the Get_KPI_Dashboard_Data Custom API. Most rules below are inferred — see the To Verify sheet.</t>
  </si>
  <si>
    <t>storeToday</t>
  </si>
  <si>
    <t>Store</t>
  </si>
  <si>
    <t>Store/storeToday</t>
  </si>
  <si>
    <t>app/widget.html + app/storeToday.js</t>
  </si>
  <si>
    <t>CONVERTED this round from the todayStoreWidget Custom API. Most rules below are inferred — see the To Verify sheet.</t>
  </si>
  <si>
    <t>storeWeekly</t>
  </si>
  <si>
    <t>Store/storeWeekly</t>
  </si>
  <si>
    <t>app/widget.html + app/storeWeekly.js</t>
  </si>
  <si>
    <t>Retrofitted: drill-downs, fetch logging, no-records states.</t>
  </si>
  <si>
    <t>storeMonthly</t>
  </si>
  <si>
    <t>Store/storeMonthly</t>
  </si>
  <si>
    <t>app/widget.html + app/monthlyStore.js</t>
  </si>
  <si>
    <t>storeYearly</t>
  </si>
  <si>
    <t>Store/storeYearly</t>
  </si>
  <si>
    <t>app/widget.html + app/yearlyStore.js</t>
  </si>
  <si>
    <t>productionOverview</t>
  </si>
  <si>
    <t>Production</t>
  </si>
  <si>
    <t>Production/productionOverview</t>
  </si>
  <si>
    <t>app/widget.html + app/productionOverview.js</t>
  </si>
  <si>
    <t>CONVERTED this round from a Zoho Creator Deluge HTML snippet. 8 panels have a real Deluge function behind them (one — Today's &amp; Weekly Overview — existed in the Deluge source with real logic but was never wired into the original page; wired in now). The rest (roughly two thirds of the page) was 100% hardcoded demo numbers with no data source at all and is shown as 'Not connected' rather than invented — cross-checked against dashboard_docs/Production_Dashboard.docx, see the Production Not-Connected sheet.</t>
  </si>
  <si>
    <t>Reports that fail to load — found via the live "Fields" scan</t>
  </si>
  <si>
    <t>Every row below is a report link name that Creator rejected, or one whose scan is now stale/incomplete. Nothing here is a guess — each status is the exact response from a live discoverFields() scan run against the current app. Fix the ones marked BROKEN or STALE in the Creator app builder, then correct CFG.reports in the dashboard's .js file if the real name differs.</t>
  </si>
  <si>
    <t>Report (link name)</t>
  </si>
  <si>
    <t>Live scan result</t>
  </si>
  <si>
    <t>What this breaks</t>
  </si>
  <si>
    <t>Recommended action</t>
  </si>
  <si>
    <t>Status</t>
  </si>
  <si>
    <t>Purchase_Order_Register</t>
  </si>
  <si>
    <t>code 2930: "Error Occurred." — report does not resolve.</t>
  </si>
  <si>
    <t>Vendor "delivered late" detection in the Vendor Performance table always read as clean (only caught "still overdue", never "delivered but late").</t>
  </si>
  <si>
    <t>Already fixed in code this session: the report was removed and replaced with the Delivered_On field, which already exists on All_Purchase_Orders. No action needed unless you want a dedicated register report.</t>
  </si>
  <si>
    <t>FIXED</t>
  </si>
  <si>
    <t>All_Tools</t>
  </si>
  <si>
    <t>Not included in the fields.txt scan — never tested.</t>
  </si>
  <si>
    <t>Tools/risk fields used by this dashboard are unconfirmed.</t>
  </si>
  <si>
    <t>Reload the dashboard, click "Fields" (top-right), then "Copy all as text", and resend so this report gets scanned.</t>
  </si>
  <si>
    <t>UNSCANNED</t>
  </si>
  <si>
    <t>Same as storeMonthly: 3 avg-lead-time calculations (annual summary, tile section, year-over-year) plus their own drill-down all read as empty/zero.</t>
  </si>
  <si>
    <t>Already fixed in code this session: removed, replaced with Delivered_On on All_Purchase_Orders. No action needed unless you want a dedicated register report.</t>
  </si>
  <si>
    <t>All_Scrap</t>
  </si>
  <si>
    <t>code 2894: "No report named All_Scrap found."</t>
  </si>
  <si>
    <t>The annual scrap-value trend (one of two scrap-value definitions this dashboard computes) always reads 0 for all 3 years.</t>
  </si>
  <si>
    <t>Find the real report link name for the Scrap form in the Creator app builder, then update CFG.reports.scrap in yearlyStore.js.</t>
  </si>
  <si>
    <t>All_Service_Executive</t>
  </si>
  <si>
    <t>code 2894: "No report named All_Service_Executive found."</t>
  </si>
  <si>
    <t>The "Risk Mitigations Implemented" figure (already shown as N/A on screen, per the original HTML) always computes as 0.</t>
  </si>
  <si>
    <t>Find the real report link name in the Creator app builder, then update CFG.reports.serviceExecutive in yearlyStore.js.</t>
  </si>
  <si>
    <t>Add_Work_Order_SERVO</t>
  </si>
  <si>
    <t>Weekly/Monthly/Yearly Planned vs Actual Production charts AND the Today's &amp; Weekly Overview panel (delays, rework, man-hours) all read empty — most of this dashboard's "real, data-backed" panels.</t>
  </si>
  <si>
    <t>Every other confirmed report in this app follows an "All_&lt;Form&gt;" naming convention; this one is "Add_&lt;Form&gt;", which looks like a Deluge add-form link rather than a report link. Try "All_Work_Order_SERVO" in the app builder — click "Fields" to test it live before trusting it.</t>
  </si>
  <si>
    <t>All_Reworks</t>
  </si>
  <si>
    <t>code 9220: "No records exist in this report." — the name IS valid, it is just empty.</t>
  </si>
  <si>
    <t>Weekly/Monthly/Yearly Rework Trend charts are always empty.</t>
  </si>
  <si>
    <t>Confirm with whoever owns the Production app: is Production rework genuinely a separate, currently-empty log, or should this point at All_Rework_Registers instead (the same-sounding report the Store dashboards use, which DOES have records)?</t>
  </si>
  <si>
    <t>EMPTY — CONFIRM</t>
  </si>
  <si>
    <t>All_Rejection_Modules</t>
  </si>
  <si>
    <t>The live scan tested the singular "All_Rejection_Module" and got code 2894 (not found). The report name in the code was changed to plural afterward — that change has never been tested.</t>
  </si>
  <si>
    <t>Rejection-related figures — unconfirmed either way right now.</t>
  </si>
  <si>
    <t>Click "Fields" on the dashboard and rescan to find out whether the plural name actually resolves.</t>
  </si>
  <si>
    <t>STALE — RESCAN</t>
  </si>
  <si>
    <t>All_Preventive_Maintenances</t>
  </si>
  <si>
    <t>The live scan tested the singular "All_Preventive_Maintenance" and got code 2894 (not found). The report name in the code was changed to plural afterward — that change has never been tested.</t>
  </si>
  <si>
    <t>Maintenance table + compliance % — unconfirmed either way right now.</t>
  </si>
  <si>
    <t>8 of 12 reports (QUOTATION_FOLLOW_UP, CALLING_FOLLOW_UP, ORDER_LOST, SERVICE_FEEDBACK, CUSTOMER_ADDRESS, CUSTOMER, ABC_CONFIG, and QUOTATION only partially)</t>
  </si>
  <si>
    <t>The fields.txt you sent was copied before the sequential scan of all 12 reports finished — only the first 4 came through.</t>
  </si>
  <si>
    <t>Can't confirm those reports' field names against real data yet.</t>
  </si>
  <si>
    <t>Let the dashboard fully load, click "Fields" -&gt; "Copy all as text" again (give it a minute to finish scanning all 12 reports this time), and resend.</t>
  </si>
  <si>
    <t>Weekly / monthly / yearly boundary logic — checked across all 10 dashboards</t>
  </si>
  <si>
    <t>Triggered by the "2025 vs 2024" bug on Sales Performance Summary — with today's date in 2026, that chart was comparing the previous two COMPLETE years and silently excluding the current year entirely. Every dashboard was swept for the same class of issue: hardcoded years, "skip the current period" patterns, and inconsistent week/month/year boundaries. Two things found — one fixed outright, one that needs your call since it's a real business-rule question, not a typo.</t>
  </si>
  <si>
    <t>Panel / function</t>
  </si>
  <si>
    <t>What it did</t>
  </si>
  <si>
    <t>What changed / what's needed</t>
  </si>
  <si>
    <t>Confirm?</t>
  </si>
  <si>
    <t>sales_performance_summary</t>
  </si>
  <si>
    <t>Monthly Sales Revenue Trend chart
(getPreviousYearsMonthlyRevenue)</t>
  </si>
  <si>
    <t>Computed "current year - 1" and "current year - 2" — e.g. with today in 2026, it plotted 2025 vs 2024 and never looked at 2026 at all. That's why the chart was empty in the screenshot: it wasn't broken, it just never asked for the year you were looking at.</t>
  </si>
  <si>
    <t>FIXED — now computes "current year" (2026, partial, through today) vs "previous year" (2025). Future months of the current year read as 0 until real orders land, which is correct for a partial year.</t>
  </si>
  <si>
    <t>No — already corrected.</t>
  </si>
  <si>
    <t>Week start day — cross-dashboard</t>
  </si>
  <si>
    <t>Every "this week" / weekly-trend calculation</t>
  </si>
  <si>
    <t>Three different conventions were in use, inconsistently: servicePerformanceSummary and sales_performance_summary started the week Monday; productionOverview started it Sunday; storeWeekly used BOTH in the same dashboard (Monday for material flow/rejection/issued-vs-returned, Sunday for the "Week 1"-"Week 4" rework expense trend).</t>
  </si>
  <si>
    <t>FIXED — standardized on Monday everywhere (ISO 8601 + standard Indian business week, Mon-Sat with Sunday off), matching the two dashboards that already used it. productionOverview's startOfWeek() and storeWeekly's rework-expense trend both switched from Sunday-start to Monday-start.</t>
  </si>
  <si>
    <t>All 10 dashboards</t>
  </si>
  <si>
    <t>Hardcoded year/date literals</t>
  </si>
  <si>
    <t>Checked for any literal "2024"/"2025"/"2026" used in actual date logic (not comments or format examples).</t>
  </si>
  <si>
    <t>None found — every other date boundary in every dashboard computes from today's real date (new Date()), not a fixed year. Only the one row above had a logic issue, not a hardcoded value.</t>
  </si>
  <si>
    <t>No action needed.</t>
  </si>
  <si>
    <t>CLEAN</t>
  </si>
  <si>
    <t>Month-length / leap-year arithmetic</t>
  </si>
  <si>
    <t>Checked for any hand-rolled "30 or 31 days" math instead of native Date rollover.</t>
  </si>
  <si>
    <t>None found — every start/end-of-month calculation uses new Date(year, month+1, 0)-style native rollover, which handles December→January and leap-year February correctly on its own.</t>
  </si>
  <si>
    <t>"Last N months/years" rolling windows</t>
  </si>
  <si>
    <t>Spot-checked every trailing-window trend (18-month lead time, 6-month non-moving stock, 5-year annual summary, 3-year performance summary, etc.) for the same "excludes the current period" bug as the row above.</t>
  </si>
  <si>
    <t>All of these correctly include the current, in-progress period at offset 0 — only the yearly revenue trend had the bug.</t>
  </si>
  <si>
    <t>Field (link name)</t>
  </si>
  <si>
    <t>Subform</t>
  </si>
  <si>
    <t>Used for</t>
  </si>
  <si>
    <t>Needed for</t>
  </si>
  <si>
    <t>New report?</t>
  </si>
  <si>
    <t>Service_Call_Logs</t>
  </si>
  <si>
    <t>Date_field</t>
  </si>
  <si>
    <t>Date the call was logged — every period filter</t>
  </si>
  <si>
    <t>Completed / Pending / Draft splits</t>
  </si>
  <si>
    <t>Customer_Name</t>
  </si>
  <si>
    <t>Repeat-call grouping (customers with 2+ calls)</t>
  </si>
  <si>
    <t>Lookup</t>
  </si>
  <si>
    <t>Service_Engineer_Name</t>
  </si>
  <si>
    <t>Engineer-wise call volume</t>
  </si>
  <si>
    <t>Nature_Of_Calls</t>
  </si>
  <si>
    <t>Warranty / PW / AMC split, invoice trend</t>
  </si>
  <si>
    <t>Repeat_Call_Reason</t>
  </si>
  <si>
    <t>Repeat-call reason pie</t>
  </si>
  <si>
    <t>Service_Call_Log_No</t>
  </si>
  <si>
    <t>Matches invoices to calls; shown as the modal's first column</t>
  </si>
  <si>
    <t>All_Service_Reports</t>
  </si>
  <si>
    <t>Call_Attended_Date</t>
  </si>
  <si>
    <t>Reports submitted today, red tag trend, stock delays</t>
  </si>
  <si>
    <t>Call_Received_Date</t>
  </si>
  <si>
    <t>Average response time</t>
  </si>
  <si>
    <t>Service_Call_Log</t>
  </si>
  <si>
    <t>Links a report to its call log</t>
  </si>
  <si>
    <t>Executive performance bars</t>
  </si>
  <si>
    <t>Completed / Pending For Spares</t>
  </si>
  <si>
    <t>Product</t>
  </si>
  <si>
    <t>Red tag item trend</t>
  </si>
  <si>
    <t>Added_Time</t>
  </si>
  <si>
    <t>Complaint cost by category window</t>
  </si>
  <si>
    <t>Spare_Replaced</t>
  </si>
  <si>
    <t>Subform holding the spare lines</t>
  </si>
  <si>
    <t>Date of each spare line</t>
  </si>
  <si>
    <t>Subform field</t>
  </si>
  <si>
    <t>Nature_of_Calls</t>
  </si>
  <si>
    <t>AMC / PW / Warranty split of complaint cost</t>
  </si>
  <si>
    <t>All_Service_Feedback1</t>
  </si>
  <si>
    <t>Company_Name</t>
  </si>
  <si>
    <t>Every feedback metric requires a customer</t>
  </si>
  <si>
    <t>Rating</t>
  </si>
  <si>
    <t>Satisfaction, regret cases, positive feedback %</t>
  </si>
  <si>
    <t>Call_attended_date</t>
  </si>
  <si>
    <t>Period filter for all feedback metrics</t>
  </si>
  <si>
    <t>Any_additional_comments_or_suggestions_would_be_appreciated1</t>
  </si>
  <si>
    <t>Recent complaints / recent feedback text</t>
  </si>
  <si>
    <t>service_engineer_attended_the_call</t>
  </si>
  <si>
    <t>Shows who attended, in the feedback modal</t>
  </si>
  <si>
    <t>Add to the report's columns if not already there</t>
  </si>
  <si>
    <t>Field_Executives</t>
  </si>
  <si>
    <t>Executives active today, weekly Google reviews</t>
  </si>
  <si>
    <t>Leave_Break</t>
  </si>
  <si>
    <t>Excludes Emergency / Informed Leave</t>
  </si>
  <si>
    <t>Employee_Name</t>
  </si>
  <si>
    <t>Google review count requires a named employee</t>
  </si>
  <si>
    <t>Did_you_collect_google_rating</t>
  </si>
  <si>
    <t>Weekly Google review collection</t>
  </si>
  <si>
    <t>All_Employees</t>
  </si>
  <si>
    <t>Engineer labels on every per-engineer chart</t>
  </si>
  <si>
    <t>Department_Role</t>
  </si>
  <si>
    <t>Identifies service engineers</t>
  </si>
  <si>
    <t>Matched against SERVICE_DEPARTMENT_ROLE_ID = 302392000000624113. Confirm this record ID is still right.</t>
  </si>
  <si>
    <t>Service_Quotations</t>
  </si>
  <si>
    <t>AMC analytics window</t>
  </si>
  <si>
    <t>Quotations Sent Today</t>
  </si>
  <si>
    <t>AMC quotations require a customer</t>
  </si>
  <si>
    <t>Picks out AMC quotations</t>
  </si>
  <si>
    <t>Service_Quotation_No</t>
  </si>
  <si>
    <t>First column of the quotation modal</t>
  </si>
  <si>
    <t>Corrected this session — "Quotation_Number" does not exist on Service_Quotations; the real field is "Service_Quotation_No".</t>
  </si>
  <si>
    <t>Service_Invoice_Follow_up_Un_paid</t>
  </si>
  <si>
    <t>Invoices generated today</t>
  </si>
  <si>
    <t>Customer</t>
  </si>
  <si>
    <t>An invoice only counts when it names a customer</t>
  </si>
  <si>
    <t>Final_Total</t>
  </si>
  <si>
    <t>Invoice amount tile and AMC/Install/Repair trend</t>
  </si>
  <si>
    <t>Spare_Amount</t>
  </si>
  <si>
    <t>Spares column of the invoice trend</t>
  </si>
  <si>
    <t>Service_Amount</t>
  </si>
  <si>
    <t>Service column of the invoice trend</t>
  </si>
  <si>
    <t>Maps an invoice to a call's Nature of Calls</t>
  </si>
  <si>
    <t>Invoice_Number</t>
  </si>
  <si>
    <t>First column of the invoice modal</t>
  </si>
  <si>
    <t>Add to the report's columns</t>
  </si>
  <si>
    <t>Rejection_And_Replacement_Register_Report</t>
  </si>
  <si>
    <t>Limits to Service</t>
  </si>
  <si>
    <t>Weekly window</t>
  </si>
  <si>
    <t>Pending replacements</t>
  </si>
  <si>
    <t>Defective_Product</t>
  </si>
  <si>
    <t>Shown in the replacement modal</t>
  </si>
  <si>
    <t>Qty</t>
  </si>
  <si>
    <t>Stand_By_Unit1</t>
  </si>
  <si>
    <t>StandBy_To</t>
  </si>
  <si>
    <t>Standby units pending collection</t>
  </si>
  <si>
    <t>Outward_Date</t>
  </si>
  <si>
    <t>Inward_Date</t>
  </si>
  <si>
    <t>Blank = still not collected</t>
  </si>
  <si>
    <t>Shown in the standby modal</t>
  </si>
  <si>
    <t>All_Amc_Contracts</t>
  </si>
  <si>
    <t>Quotation_Number</t>
  </si>
  <si>
    <t>Marks an AMC quotation as converted</t>
  </si>
  <si>
    <t>Lookup to Service_Quotations</t>
  </si>
  <si>
    <t>Shown in the contract modal</t>
  </si>
  <si>
    <t>All_Product</t>
  </si>
  <si>
    <t>Product_Name</t>
  </si>
  <si>
    <t>Matches a service report's Product to a red tag item</t>
  </si>
  <si>
    <t>Is_Red_Tag_Material</t>
  </si>
  <si>
    <t>Server-side criteria: Is_Red_Tag_Material == true</t>
  </si>
  <si>
    <t>Product_Code</t>
  </si>
  <si>
    <t>Shown in the product modal</t>
  </si>
  <si>
    <t>Expense_of_Engineer_Report</t>
  </si>
  <si>
    <t>Date_field1234567890</t>
  </si>
  <si>
    <t>Monthly expense window</t>
  </si>
  <si>
    <t>Yes, that really is the link name</t>
  </si>
  <si>
    <t>Expense breakdown needs a named engineer</t>
  </si>
  <si>
    <t>Overall_Engineer</t>
  </si>
  <si>
    <t>Indirect expense</t>
  </si>
  <si>
    <t>Material_Replaced1</t>
  </si>
  <si>
    <t>Subform holding the expense lines</t>
  </si>
  <si>
    <t>Direct_Expense</t>
  </si>
  <si>
    <t>Direct expense total</t>
  </si>
  <si>
    <t>Engineer_Expenses</t>
  </si>
  <si>
    <t>Indirect expense total</t>
  </si>
  <si>
    <t>Monthly window</t>
  </si>
  <si>
    <t>Approximate_Cost</t>
  </si>
  <si>
    <t>Added to indirect expense</t>
  </si>
  <si>
    <t>Training_Reports</t>
  </si>
  <si>
    <t>Report</t>
  </si>
  <si>
    <t>Subform holding the training sessions</t>
  </si>
  <si>
    <t>Monthly window per session</t>
  </si>
  <si>
    <t>Total_Hours</t>
  </si>
  <si>
    <t>Training hours conducted</t>
  </si>
  <si>
    <t>Production_Tool_Kit_of_Engineers1</t>
  </si>
  <si>
    <t>Month_field</t>
  </si>
  <si>
    <t>Matches the current month name (e.g. 'September')</t>
  </si>
  <si>
    <t>Approved = completed</t>
  </si>
  <si>
    <t>Service_Tools_Kit_of_Engineers</t>
  </si>
  <si>
    <t>Each subform row counts as one required inspection</t>
  </si>
  <si>
    <t>Vehicle_Service_Reports</t>
  </si>
  <si>
    <t>Matches the current month name</t>
  </si>
  <si>
    <t>Vehicle subform — first of two candidate names</t>
  </si>
  <si>
    <t>The original Deluge read the tool-kit subform name here. 'Report' is tried as a fallback. Confirm which one the vehicle form actually uses.</t>
  </si>
  <si>
    <t>Internal_Calibrations</t>
  </si>
  <si>
    <t>UUC_E</t>
  </si>
  <si>
    <t>Equipment name</t>
  </si>
  <si>
    <t>Meter_Type</t>
  </si>
  <si>
    <t>Fallback equipment name</t>
  </si>
  <si>
    <t>Meter_Make</t>
  </si>
  <si>
    <t>Meter_S</t>
  </si>
  <si>
    <t>Listed in the original field audit</t>
  </si>
  <si>
    <t>Calibration_Type</t>
  </si>
  <si>
    <t>Report type column</t>
  </si>
  <si>
    <t>Rev_Date</t>
  </si>
  <si>
    <t>Last service date; next service = +1 year</t>
  </si>
  <si>
    <t>Approved_By</t>
  </si>
  <si>
    <t>Drives the status badge</t>
  </si>
  <si>
    <t>Tested_By</t>
  </si>
  <si>
    <t>Fallback service person</t>
  </si>
  <si>
    <t>Rev_No</t>
  </si>
  <si>
    <t>Shown in the calibration modal</t>
  </si>
  <si>
    <t>Service_Invoice_Format</t>
  </si>
  <si>
    <t>Invoice amount tiles and the invoice trend</t>
  </si>
  <si>
    <t>Engineer revenue window</t>
  </si>
  <si>
    <t>Maps an invoice to its call's Nature of Calls</t>
  </si>
  <si>
    <t>Service_Coordinator</t>
  </si>
  <si>
    <t>Engineer efficiency revenue</t>
  </si>
  <si>
    <t>Expense tiles need a named engineer</t>
  </si>
  <si>
    <t>Indirect expense tile</t>
  </si>
  <si>
    <t>Engineer cost-efficiency window</t>
  </si>
  <si>
    <t>Embedded expense lines, used when present</t>
  </si>
  <si>
    <t>Subform_Of_Expense_Of_Engineer1_Report</t>
  </si>
  <si>
    <t>Expense_of_Engineer</t>
  </si>
  <si>
    <t>Links a line back to its parent expense record</t>
  </si>
  <si>
    <t>Warranty vs PW expense split</t>
  </si>
  <si>
    <t>Warranty / Post Warranty expense tiles</t>
  </si>
  <si>
    <t>Monthly window, repeat-call reasons</t>
  </si>
  <si>
    <t>Open calls, ageing, engineer delay %</t>
  </si>
  <si>
    <t>Ageing falls back to this when present</t>
  </si>
  <si>
    <t>Engineer efficiency index</t>
  </si>
  <si>
    <t>Invoice amount trend buckets</t>
  </si>
  <si>
    <t>Repeat calls reason pie</t>
  </si>
  <si>
    <t>Shown in the call log modal</t>
  </si>
  <si>
    <t>Feedback only counts with a customer</t>
  </si>
  <si>
    <t>Complaints %, average rating, satisfaction index</t>
  </si>
  <si>
    <t>Monthly satisfaction bars, complaints list</t>
  </si>
  <si>
    <t>Health summary falls back to this</t>
  </si>
  <si>
    <t>Complaint text</t>
  </si>
  <si>
    <t>Engineer efficiency feedback + modal column</t>
  </si>
  <si>
    <t>Service_Executive1</t>
  </si>
  <si>
    <t>Date_Logged</t>
  </si>
  <si>
    <t>Google review window</t>
  </si>
  <si>
    <t>Google_Rating</t>
  </si>
  <si>
    <t>Google review collection %</t>
  </si>
  <si>
    <t>Engineer efficiency rows</t>
  </si>
  <si>
    <t>Filters to the service roles</t>
  </si>
  <si>
    <t>Matched by NAME against CFG.serviceRoles = ['Service Co-ordinator', 'Field Service Engineer']. If the table is empty the console prints the Department_Role values actually present.</t>
  </si>
  <si>
    <t>30-day material-delay window</t>
  </si>
  <si>
    <t>Pending For Spares</t>
  </si>
  <si>
    <t>Top repeat issues</t>
  </si>
  <si>
    <t>How_Many_Times_Visited</t>
  </si>
  <si>
    <t>Repeat issues require &gt; 1 visit</t>
  </si>
  <si>
    <t>AMC offers need a customer</t>
  </si>
  <si>
    <t>Code also tries 'Customer'</t>
  </si>
  <si>
    <t>Code also tries 'Nature_Of_Calls'</t>
  </si>
  <si>
    <t>Current-month AMC window</t>
  </si>
  <si>
    <t>Code also tries Date / Quotation_Date / Added_Time</t>
  </si>
  <si>
    <t>Shown in the quotation modal</t>
  </si>
  <si>
    <t>Amc_Contracts_Format</t>
  </si>
  <si>
    <t>Marks an AMC offer as closed</t>
  </si>
  <si>
    <t>Vehicle register, current month</t>
  </si>
  <si>
    <t>Vehicle_Service_Reports1</t>
  </si>
  <si>
    <t>Draft (unsigned) vehicle reports</t>
  </si>
  <si>
    <t>Subform_Of_Vehicle_Service_Report_Report</t>
  </si>
  <si>
    <t>Vehicle_No1</t>
  </si>
  <si>
    <t>Counts vehicles per report</t>
  </si>
  <si>
    <t>Vehicle_Service_Report</t>
  </si>
  <si>
    <t>Links a line to its parent report</t>
  </si>
  <si>
    <t>A calibration only counts with equipment named</t>
  </si>
  <si>
    <t>Monthly calibration window</t>
  </si>
  <si>
    <t>Calibration approval %</t>
  </si>
  <si>
    <t>Internal_Calibration_Approval_Process</t>
  </si>
  <si>
    <t>Draft calibrations, same rules</t>
  </si>
  <si>
    <t>Production_Tool_Kit_of_Engineers</t>
  </si>
  <si>
    <t>Approved tool inspections</t>
  </si>
  <si>
    <t>Draft tool inspections</t>
  </si>
  <si>
    <t>All_Order_Confirmations</t>
  </si>
  <si>
    <t>Final_Amount</t>
  </si>
  <si>
    <t>Total revenue KPI, monthly revenue chart</t>
  </si>
  <si>
    <t>Monthly / quarterly revenue windows</t>
  </si>
  <si>
    <t>Quotation_No</t>
  </si>
  <si>
    <t>Shown in the order modal</t>
  </si>
  <si>
    <t>Confirmed via this dashboard's own fields.txt dump.</t>
  </si>
  <si>
    <t>Corrected this session — "Customer_Company" does not exist on All_Order_Confirmations; the real field is "Customer_Name".</t>
  </si>
  <si>
    <t>Sales_Order_Entry_SRS_Report</t>
  </si>
  <si>
    <t>Conversion rate (Confirmed) and lost orders (Cancel)</t>
  </si>
  <si>
    <t>Company_Customer_Name</t>
  </si>
  <si>
    <t>Top customers by sales; modal column</t>
  </si>
  <si>
    <t>Corrected this session — "Customer_Name" does not exist on this report; the real field is "Company_Customer_Name".</t>
  </si>
  <si>
    <t>Shown in the SRS modal</t>
  </si>
  <si>
    <t>Corrected this session — "Total_Amount" does not exist on this report; the real field is "Final_Amount".</t>
  </si>
  <si>
    <t>All_Payment_Trackings</t>
  </si>
  <si>
    <t>Payment_Date</t>
  </si>
  <si>
    <t>Orders vs payments split</t>
  </si>
  <si>
    <t>Top customers by payment; modal column</t>
  </si>
  <si>
    <t>Corrected this session — "Customer_Company" does not exist on this report; the real field is "Customer_Name" (same as the row below — code now uses this).</t>
  </si>
  <si>
    <t>Advance_Amount</t>
  </si>
  <si>
    <t>Payment totals</t>
  </si>
  <si>
    <t>ABC Customer Revenue Analysis — groups payments by customer</t>
  </si>
  <si>
    <t>Confirmed via this dashboard's own fields.txt dump — this is what the code now uses for the Customer column.</t>
  </si>
  <si>
    <t>Payment_Amount</t>
  </si>
  <si>
    <t>ABC Customer Revenue Analysis — revenue summed per customer</t>
  </si>
  <si>
    <t>Follow_upStatus</t>
  </si>
  <si>
    <t>Shown in the payment modal</t>
  </si>
  <si>
    <t>Payment_Made_Report</t>
  </si>
  <si>
    <t>Balance_Amount</t>
  </si>
  <si>
    <t>Outstanding payments KPI (positive balances only)</t>
  </si>
  <si>
    <t>Payable_Amount</t>
  </si>
  <si>
    <t>Quotation1</t>
  </si>
  <si>
    <t>Conversion trend</t>
  </si>
  <si>
    <t>Customer_Company</t>
  </si>
  <si>
    <t>Grand_Total</t>
  </si>
  <si>
    <t>Quotation_Follow_Up_Report</t>
  </si>
  <si>
    <t>Follow-up delay alerts</t>
  </si>
  <si>
    <t>Customer_Calling___follow_up</t>
  </si>
  <si>
    <t>Lead_Date</t>
  </si>
  <si>
    <t>Lead volume for the conversion rate</t>
  </si>
  <si>
    <t>Note the THREE underscores in the report link name</t>
  </si>
  <si>
    <t>Shown in the lead modal</t>
  </si>
  <si>
    <t>Lead_Source</t>
  </si>
  <si>
    <t>Order_lost_Analysis_Report</t>
  </si>
  <si>
    <t>Lost order trend</t>
  </si>
  <si>
    <t>Shown in the lost-order modal</t>
  </si>
  <si>
    <t>Quotation</t>
  </si>
  <si>
    <t>Top lost orders table</t>
  </si>
  <si>
    <t>Type_Of_Lost</t>
  </si>
  <si>
    <t>Lost reason breakdown</t>
  </si>
  <si>
    <t>Customer satisfaction alert</t>
  </si>
  <si>
    <t>Customer_Addresses</t>
  </si>
  <si>
    <t>City</t>
  </si>
  <si>
    <t>Regional sales table</t>
  </si>
  <si>
    <t>Normalised via CITY_NORMALIZATION (Combatore -&gt; Coimbatore, Tirupur -&gt; Tiruppur)</t>
  </si>
  <si>
    <t>All_Customers</t>
  </si>
  <si>
    <t>Customer growth (new vs repeat); ABC customer name</t>
  </si>
  <si>
    <t>Customer_Code</t>
  </si>
  <si>
    <t>ABC customer modal column</t>
  </si>
  <si>
    <t>Shown in the customer modal</t>
  </si>
  <si>
    <t>Abc_Customer_Classifications</t>
  </si>
  <si>
    <t>Customer_A</t>
  </si>
  <si>
    <t>Category A threshold (revenue ≥ this)</t>
  </si>
  <si>
    <t>Customer_B_St_Amount</t>
  </si>
  <si>
    <t>Category B threshold, lower bound</t>
  </si>
  <si>
    <t>Customer_B_End_Amount</t>
  </si>
  <si>
    <t>Category B threshold, upper bound</t>
  </si>
  <si>
    <t>Customer_C</t>
  </si>
  <si>
    <t>Category C threshold (revenue ≤ this)</t>
  </si>
  <si>
    <t>All four read from a single config row, ABC_CONFIG_ID = 302392000001792002. Confirm this record still exists.</t>
  </si>
  <si>
    <t>Customer_Calling_follow_up_Format</t>
  </si>
  <si>
    <t>Leads today / this week / this month</t>
  </si>
  <si>
    <t>Open, In Progress, Quote Created</t>
  </si>
  <si>
    <t>Weekly lead-source bars</t>
  </si>
  <si>
    <t>Average delay calculation; modal column</t>
  </si>
  <si>
    <t>Item_Details</t>
  </si>
  <si>
    <t>Lead item subform</t>
  </si>
  <si>
    <t>Item_Name</t>
  </si>
  <si>
    <t>Item names</t>
  </si>
  <si>
    <t>Quotations today / weekly / monthly</t>
  </si>
  <si>
    <t>Sent, Draft (admin delay), Follow-up</t>
  </si>
  <si>
    <t>Quotation value</t>
  </si>
  <si>
    <t>Follow-up delay benchmark; modal column</t>
  </si>
  <si>
    <t>Customer_Calling_follow_up</t>
  </si>
  <si>
    <t>Links a quotation to its lead (average delay)</t>
  </si>
  <si>
    <t>Orders today / weekly / monthly</t>
  </si>
  <si>
    <t>Links an order to its quotation</t>
  </si>
  <si>
    <t>Revenue, profit, YoY</t>
  </si>
  <si>
    <t>Quote_Amount</t>
  </si>
  <si>
    <t>Quote accuracy</t>
  </si>
  <si>
    <t>Payment_Trackings_Format</t>
  </si>
  <si>
    <t>Payments today / weekly</t>
  </si>
  <si>
    <t>Due_Date</t>
  </si>
  <si>
    <t>Payments overdue (&gt; 15 days)</t>
  </si>
  <si>
    <t>Paid vs unpaid</t>
  </si>
  <si>
    <t>Payments today</t>
  </si>
  <si>
    <t>Quotation_Follow_Up_Format</t>
  </si>
  <si>
    <t>Has_Follow_up</t>
  </si>
  <si>
    <t>Uncontacted quotes</t>
  </si>
  <si>
    <t>Follow_up</t>
  </si>
  <si>
    <t>Follow-up line subform</t>
  </si>
  <si>
    <t>Follow_up_Execution_Date</t>
  </si>
  <si>
    <t>Follow-ups done today</t>
  </si>
  <si>
    <t>Completed vs pending lines</t>
  </si>
  <si>
    <t>Follow_up_Date</t>
  </si>
  <si>
    <t>Missed schedule, pending &gt; 3 days</t>
  </si>
  <si>
    <t>Pending / Confirmed / Lost</t>
  </si>
  <si>
    <t>Parent-level status</t>
  </si>
  <si>
    <t>Weekly follow-up counts</t>
  </si>
  <si>
    <t>Customer_Pre_Site_Visit_Observation1</t>
  </si>
  <si>
    <t>Visit_Date</t>
  </si>
  <si>
    <t>Pre-visits today, visit alerts</t>
  </si>
  <si>
    <t>Requested / Completed</t>
  </si>
  <si>
    <t>All_Customer_Feedback</t>
  </si>
  <si>
    <t>Monthly customer ratings</t>
  </si>
  <si>
    <t>Remarks</t>
  </si>
  <si>
    <t>Recent feedback text</t>
  </si>
  <si>
    <t>Name_of_Customer</t>
  </si>
  <si>
    <t>Feedback owner</t>
  </si>
  <si>
    <t>Overall_Performance</t>
  </si>
  <si>
    <t>Satisfaction rating</t>
  </si>
  <si>
    <t>Inactive customers alert</t>
  </si>
  <si>
    <t>Lost order analysis (today, by quarter)</t>
  </si>
  <si>
    <t>Price / Transport / Service / Too Far / Postponed</t>
  </si>
  <si>
    <t>All_Dealers</t>
  </si>
  <si>
    <t>New dealers added this month</t>
  </si>
  <si>
    <t>Installation_Calls_Handling_for_Sales</t>
  </si>
  <si>
    <t>Installation call volume</t>
  </si>
  <si>
    <t>Feedback_Status</t>
  </si>
  <si>
    <t>Feedback after visit</t>
  </si>
  <si>
    <t>Standby_Unit_Tracker2_Report</t>
  </si>
  <si>
    <t>Standby cost window</t>
  </si>
  <si>
    <t>Cost</t>
  </si>
  <si>
    <t>Standby cost</t>
  </si>
  <si>
    <t>Service_Executive_Format</t>
  </si>
  <si>
    <t>Service cost window</t>
  </si>
  <si>
    <t>Total_Cost</t>
  </si>
  <si>
    <t>Service cost</t>
  </si>
  <si>
    <t>Service_Reports_Format</t>
  </si>
  <si>
    <t>Spare cost window</t>
  </si>
  <si>
    <t>Spare line subform</t>
  </si>
  <si>
    <t>Total_Amount</t>
  </si>
  <si>
    <t>Spare cost</t>
  </si>
  <si>
    <t>Overall_Direct</t>
  </si>
  <si>
    <t>Direct expense</t>
  </si>
  <si>
    <t>All_Purchase_Orders</t>
  </si>
  <si>
    <t>PO item subform</t>
  </si>
  <si>
    <t>Matches PO items to BOM items</t>
  </si>
  <si>
    <t>Price</t>
  </si>
  <si>
    <t>Cost side of the profit calculation</t>
  </si>
  <si>
    <t>BOM_Report</t>
  </si>
  <si>
    <t>BOM window</t>
  </si>
  <si>
    <t>BOM item subform</t>
  </si>
  <si>
    <t>Matches BOM items to PO items</t>
  </si>
  <si>
    <t>Quantity</t>
  </si>
  <si>
    <t>Cost quantity</t>
  </si>
  <si>
    <t>Service_Feedback_Format</t>
  </si>
  <si>
    <t>Service satisfaction window</t>
  </si>
  <si>
    <t>Service satisfaction</t>
  </si>
  <si>
    <t>All_Benchmarks</t>
  </si>
  <si>
    <t>Total_sales_value_committed_for_this_period</t>
  </si>
  <si>
    <t>Sales target</t>
  </si>
  <si>
    <t>Expected_growth_percentage_compared_to_last_period</t>
  </si>
  <si>
    <t>Growth target</t>
  </si>
  <si>
    <t>Number_of_customer_orders_planned_to_be_closed_in_this_period</t>
  </si>
  <si>
    <t>Orders target</t>
  </si>
  <si>
    <t>Number_of_hot_enquiries_expected_to_be_generated_in_this_period</t>
  </si>
  <si>
    <t>Hot enquiry target</t>
  </si>
  <si>
    <t>Number_of_new_dealers_or_channel_partners_planned</t>
  </si>
  <si>
    <t>Dealer target</t>
  </si>
  <si>
    <t>Maximum_acceptable_number_of_lost_orders_for_this_period</t>
  </si>
  <si>
    <t>Lost order ceiling</t>
  </si>
  <si>
    <t>Maximum_acceptable_follow_up_delay_for_quotations_in_days</t>
  </si>
  <si>
    <t>Follow-up delay ceiling</t>
  </si>
  <si>
    <t>All_Competitor_Analysis</t>
  </si>
  <si>
    <t>Competitor</t>
  </si>
  <si>
    <t>Competitor table</t>
  </si>
  <si>
    <t>Market_Position</t>
  </si>
  <si>
    <t>Pricing</t>
  </si>
  <si>
    <t>Key_Strengths</t>
  </si>
  <si>
    <t>Our_Advantage</t>
  </si>
  <si>
    <t>Updated_Date</t>
  </si>
  <si>
    <t>Leads created / attended this month</t>
  </si>
  <si>
    <t>Open vs attended</t>
  </si>
  <si>
    <t>Open statuses assumed: Open, New</t>
  </si>
  <si>
    <t>Lead source bars</t>
  </si>
  <si>
    <t>Grouping rules in CFG.rules.leadSourceGroups</t>
  </si>
  <si>
    <t>Modal column</t>
  </si>
  <si>
    <t>Lead owner (grouping only)</t>
  </si>
  <si>
    <t>Quotations created this / last month</t>
  </si>
  <si>
    <t>Approved / Sent</t>
  </si>
  <si>
    <t>Approved statuses assumed: Approved, Accepted, Confirmed</t>
  </si>
  <si>
    <t>Links quotation to lead — the quote-delay KPI</t>
  </si>
  <si>
    <t>Prepared_By</t>
  </si>
  <si>
    <t>Groups the Admin Performance table</t>
  </si>
  <si>
    <t>Without this the admin table shows a 'field not on the report' message.</t>
  </si>
  <si>
    <t>Orders confirmed this month</t>
  </si>
  <si>
    <t>Quote accuracy, sales amount</t>
  </si>
  <si>
    <t>Payment delay KPI</t>
  </si>
  <si>
    <t>Follow-up coverage</t>
  </si>
  <si>
    <t>Done vs missed follow-ups</t>
  </si>
  <si>
    <t>Done statuses assumed: Completed, Done, Closed</t>
  </si>
  <si>
    <t>Follow-up scheduling</t>
  </si>
  <si>
    <t>Pre-visits and customer visits this month</t>
  </si>
  <si>
    <t>Corrected this session — "Customer_Company" does not exist on this report; the real field is "Customer_Name". Was blanking the Customer column in the Pre-Site Visits drill-down.</t>
  </si>
  <si>
    <t>Feedback count and satisfaction</t>
  </si>
  <si>
    <t>Customer satisfaction KPI</t>
  </si>
  <si>
    <t>Order Closed team strip, this month</t>
  </si>
  <si>
    <t>Groups the Order Closed strip</t>
  </si>
  <si>
    <t>CONFIRMED live: the dashboard shows exactly one member named '(not set)' with all 47 closures — this link name is wrong on Sales_Order_Entry_SRS_Report and needs correcting.</t>
  </si>
  <si>
    <t>Amount per team member</t>
  </si>
  <si>
    <t>All_Material_Requisitions1</t>
  </si>
  <si>
    <t>Today's material transactions</t>
  </si>
  <si>
    <t>Hour-by-hour material flow chart</t>
  </si>
  <si>
    <t>Falls back to Modified_Time. Without either, the hourly chart is flat.</t>
  </si>
  <si>
    <t>Modified_Time</t>
  </si>
  <si>
    <t>Fallback for the hourly chart</t>
  </si>
  <si>
    <t>Issued_by1</t>
  </si>
  <si>
    <t>Service flow, technician-wise</t>
  </si>
  <si>
    <t>Splits Service vs Production</t>
  </si>
  <si>
    <t>Service departments assumed: ['Service']; production: ['Production']. The console prints the values actually present.</t>
  </si>
  <si>
    <t>Production stops (material shortage)</t>
  </si>
  <si>
    <t>Shortage statuses assumed: Shortage, Material Shortage, Stock Not Available, Pending.</t>
  </si>
  <si>
    <t>Item line subform</t>
  </si>
  <si>
    <t>Quantity issued</t>
  </si>
  <si>
    <t>Returned_Item_Qty</t>
  </si>
  <si>
    <t>Items returned from service</t>
  </si>
  <si>
    <t>Previous_Returned_Qty</t>
  </si>
  <si>
    <t>Prior returns</t>
  </si>
  <si>
    <t>Low stock report</t>
  </si>
  <si>
    <t>Shown as the SKU column</t>
  </si>
  <si>
    <t>Available_Stock</t>
  </si>
  <si>
    <t>Low stock alerts</t>
  </si>
  <si>
    <t>Minimum_Stock_Level</t>
  </si>
  <si>
    <t>Red tag materials added</t>
  </si>
  <si>
    <t>Red_Tagged_Date</t>
  </si>
  <si>
    <t>Red tag materials added TODAY</t>
  </si>
  <si>
    <t>PO_Date</t>
  </si>
  <si>
    <t>Today's purchase orders</t>
  </si>
  <si>
    <t>Total / Billed / Received tiles and the PO funnel</t>
  </si>
  <si>
    <t>Confirmed via fields.txt.</t>
  </si>
  <si>
    <t>PO_Number</t>
  </si>
  <si>
    <t>PO Number column in the side panels</t>
  </si>
  <si>
    <t>Corrected this session — "PO_No" does not exist; the real field is "PO_Number".</t>
  </si>
  <si>
    <t>'Date &amp; Time' column in the side panels</t>
  </si>
  <si>
    <t>Vendor_Name</t>
  </si>
  <si>
    <t>(PO amount)</t>
  </si>
  <si>
    <t>PO amount sub-values on the three PO tiles</t>
  </si>
  <si>
    <t>Resolves to Total_Amount — confirmed present via fields.txt.</t>
  </si>
  <si>
    <t>(PO employee)</t>
  </si>
  <si>
    <t>'Employee' column in the side panels</t>
  </si>
  <si>
    <t>CONFIRMED ABSENT — All_Purchase_Orders has no employee/prepared-by field of any kind. The Employee column will stay blank until one is added to the Purchase Order form in Zoho.</t>
  </si>
  <si>
    <t>Rejection_Replacement_Register_Format</t>
  </si>
  <si>
    <t>Rejected items received today</t>
  </si>
  <si>
    <t>Daily material flow, items given to service</t>
  </si>
  <si>
    <t>Issued vs returned, technician-wise</t>
  </si>
  <si>
    <t>Quantity returned</t>
  </si>
  <si>
    <t>Added to the returned total</t>
  </si>
  <si>
    <t>Stock-out alerts</t>
  </si>
  <si>
    <t>Limits stock-outs to this week</t>
  </si>
  <si>
    <t>Red tag material created this week</t>
  </si>
  <si>
    <t>Red tag material value</t>
  </si>
  <si>
    <t>All_Rework_Registers</t>
  </si>
  <si>
    <t>Weekly indirect expense columns</t>
  </si>
  <si>
    <t>Total_Expence</t>
  </si>
  <si>
    <t>Rework expense</t>
  </si>
  <si>
    <t>Note the spelling: Expence, not Expense</t>
  </si>
  <si>
    <t>Rejected items per day</t>
  </si>
  <si>
    <t>Production vs Service rejections</t>
  </si>
  <si>
    <t>A rejection only counts with a defective product</t>
  </si>
  <si>
    <t>Rejected quantity</t>
  </si>
  <si>
    <t>Replacements not received</t>
  </si>
  <si>
    <t>Non-moving stock, min stock list</t>
  </si>
  <si>
    <t>Server-side criteria: Available_Stock &gt; 0</t>
  </si>
  <si>
    <t>Min stock list updated</t>
  </si>
  <si>
    <t>Non-moving stock value, red tag value</t>
  </si>
  <si>
    <t>Last_Order_Date</t>
  </si>
  <si>
    <t>Non-moving stock (6+ months)</t>
  </si>
  <si>
    <t>Red tag material value this month</t>
  </si>
  <si>
    <t>Red tag value, non-moving stock</t>
  </si>
  <si>
    <t>PO status by week, vendor performance</t>
  </si>
  <si>
    <t>Draft / Issued / Received / Billed / Closed / Waiting For Approval</t>
  </si>
  <si>
    <t>Groups POs by vendor</t>
  </si>
  <si>
    <t>Lookup to All_Vendors</t>
  </si>
  <si>
    <t>Expected_Delivery_Date</t>
  </si>
  <si>
    <t>Delivery delay count</t>
  </si>
  <si>
    <t>Delivered_On</t>
  </si>
  <si>
    <t>Links a receipt to its PO</t>
  </si>
  <si>
    <t>Purchase_Order_Register (code 2930) was removed this session. Delivered_On, which already exists on All_Purchase_Orders, now does this job instead — see the Broken Reports sheet.</t>
  </si>
  <si>
    <t>(removed)</t>
  </si>
  <si>
    <t>Whether a PO was delivered late</t>
  </si>
  <si>
    <t>Purchase_Order_Register no longer exists in the code — see row above and the Broken Reports sheet.</t>
  </si>
  <si>
    <t>Supplier_Rating_Report</t>
  </si>
  <si>
    <t>Supplier_Name</t>
  </si>
  <si>
    <t>Groups ratings by supplier</t>
  </si>
  <si>
    <t>Total_Rating</t>
  </si>
  <si>
    <t>Supplier performance rating, below-70 count</t>
  </si>
  <si>
    <t>This month's ratings</t>
  </si>
  <si>
    <t>A rating only counts when it names a product</t>
  </si>
  <si>
    <t>All_Vendors</t>
  </si>
  <si>
    <t>Vendor_Supplier_Name</t>
  </si>
  <si>
    <t>New suppliers added</t>
  </si>
  <si>
    <t>New this month vs pre-existing</t>
  </si>
  <si>
    <t>Vendor_Status</t>
  </si>
  <si>
    <t>Approved suppliers</t>
  </si>
  <si>
    <t>Product_Details</t>
  </si>
  <si>
    <t>Alternate supplier detection</t>
  </si>
  <si>
    <t>Product half of the alternate-supplier key</t>
  </si>
  <si>
    <t>Subform field, lookup</t>
  </si>
  <si>
    <t>Make</t>
  </si>
  <si>
    <t>Make half of the alternate-supplier key</t>
  </si>
  <si>
    <t>Given_To</t>
  </si>
  <si>
    <t>A tool only counts when issued to someone</t>
  </si>
  <si>
    <t>Not included in the last fields.txt scan — still unconfirmed. See the Broken Reports sheet.</t>
  </si>
  <si>
    <t>This month's inspections</t>
  </si>
  <si>
    <t>Completed inspections</t>
  </si>
  <si>
    <t>Pending replacements this month</t>
  </si>
  <si>
    <t>Pending</t>
  </si>
  <si>
    <t>Type_field</t>
  </si>
  <si>
    <t>Replacement (vs rejection)</t>
  </si>
  <si>
    <t>Non-moving stock value</t>
  </si>
  <si>
    <t>Non-moving stock value, scrap value</t>
  </si>
  <si>
    <t>Non-moving cutoff (6 months)</t>
  </si>
  <si>
    <t>Material type movement ratio</t>
  </si>
  <si>
    <t>Product_Type</t>
  </si>
  <si>
    <t>Material type donut</t>
  </si>
  <si>
    <t>Monthly indirect expense chart</t>
  </si>
  <si>
    <t>Note the spelling: Expence</t>
  </si>
  <si>
    <t>This year vs last year ratings</t>
  </si>
  <si>
    <t>Average supplier rating</t>
  </si>
  <si>
    <t>Material lead time (PO -&gt; receipt)</t>
  </si>
  <si>
    <t>Purchase_Order_Register (code 2930) was removed this session. Delivered_On + PO_Number, which already exist on All_Purchase_Orders, now do this job instead — see the Broken Reports sheet.</t>
  </si>
  <si>
    <t>Material lead time</t>
  </si>
  <si>
    <t>See row above — Purchase_Order_Register no longer exists in the code.</t>
  </si>
  <si>
    <t>Supplier onboarding by year</t>
  </si>
  <si>
    <t>Approved vendors (year 1 only — carried over from the Deluge)</t>
  </si>
  <si>
    <t>Second-supplier savings</t>
  </si>
  <si>
    <t>Scrap value (annual summary definition)</t>
  </si>
  <si>
    <t>Report does not exist — code 2894. See the Broken Reports sheet.</t>
  </si>
  <si>
    <t>Buyback cost subform</t>
  </si>
  <si>
    <t>Buyback_Cost</t>
  </si>
  <si>
    <t>Scrap value</t>
  </si>
  <si>
    <t>Scrap value (tile definition)</t>
  </si>
  <si>
    <t>Valued at the product's Price</t>
  </si>
  <si>
    <t>Lookup to All_Product</t>
  </si>
  <si>
    <t>Material movement ratio</t>
  </si>
  <si>
    <t>Item subform</t>
  </si>
  <si>
    <t>Risk mitigations implemented</t>
  </si>
  <si>
    <t>Risk_matrix</t>
  </si>
  <si>
    <t>This year's mitigations</t>
  </si>
  <si>
    <t>Weekly/Monthly/Yearly Planned vs Actual Production; Rework Trend denominator</t>
  </si>
  <si>
    <t>Report does not exist — code 2930. See the Broken Reports sheet.</t>
  </si>
  <si>
    <t>Planned = Status != Draft; Actual = Status == Completed</t>
  </si>
  <si>
    <t>Man_Hours</t>
  </si>
  <si>
    <t>Read by getKPITableData(), which the page never actually calls</t>
  </si>
  <si>
    <t>Commited_Delivery_Date</t>
  </si>
  <si>
    <t>On-Time Delivery, Order Commitment &amp; Delay Status</t>
  </si>
  <si>
    <t>Actual_Delivery_Date</t>
  </si>
  <si>
    <t>On-time / delayed / critical / pending classification</t>
  </si>
  <si>
    <t>On-Time Delivery Trend weekly window (a DIFFERENT date than Commited_Delivery_Date)</t>
  </si>
  <si>
    <t>Order_Confirmation_ID</t>
  </si>
  <si>
    <t>Order No column</t>
  </si>
  <si>
    <t>Customer column</t>
  </si>
  <si>
    <t>Product column</t>
  </si>
  <si>
    <t>Reason column</t>
  </si>
  <si>
    <t>Rework tile (today), Rework Trend numerator</t>
  </si>
  <si>
    <t>Report name is valid but returns 0 records — see the Broken Reports sheet (possible confusion with All_Rework_Registers).</t>
  </si>
  <si>
    <t>Rejection tile (today)</t>
  </si>
  <si>
    <t>STALE</t>
  </si>
  <si>
    <t>Report name changed (singular -&gt; plural) after the last scan; the scan tested the OLD singular name and got code 2894. See the Broken Reports sheet.</t>
  </si>
  <si>
    <t>Preventive_Maintenance_Date</t>
  </si>
  <si>
    <t>Only records with this filled are considered</t>
  </si>
  <si>
    <t>Frequency</t>
  </si>
  <si>
    <t>Planned count per record: Monthly=12, 3 Months=4, 6 Months=2, Annually=1</t>
  </si>
  <si>
    <t>"Completed" = this is filled in — confirm that's really what it means</t>
  </si>
  <si>
    <t>Type_of_Maintenance</t>
  </si>
  <si>
    <t>Buckets into Machine / Vehicle / Calibration by .contains()</t>
  </si>
  <si>
    <t>Top 5 Red-Tag Items table</t>
  </si>
  <si>
    <t>Red-tag value, sort order</t>
  </si>
  <si>
    <t>Filters to red-tag stock</t>
  </si>
  <si>
    <t>Must be before last month; drives the aging/priority calculation</t>
  </si>
  <si>
    <t>Tab / Section</t>
  </si>
  <si>
    <t>Number on screen</t>
  </si>
  <si>
    <t>Source report</t>
  </si>
  <si>
    <t>Filter the modal applies</t>
  </si>
  <si>
    <t>Columns the modal shows</t>
  </si>
  <si>
    <t>Today</t>
  </si>
  <si>
    <t>Total Calls Logged Today</t>
  </si>
  <si>
    <t>Date_field = today</t>
  </si>
  <si>
    <t>Call No, Date, Customer, Engineer, Nature, Status, Repeat Reason</t>
  </si>
  <si>
    <t>Service Executives Active Today</t>
  </si>
  <si>
    <t>Date_field = today AND Leave_Break not in (Emergency Leave, Informed Leave)</t>
  </si>
  <si>
    <t>Date, Employee, Leave/Break, Google Rating Collected</t>
  </si>
  <si>
    <t>Service Reports Submitted</t>
  </si>
  <si>
    <t>Call_Attended_Date = today AND its Service_Call_Log is Completed (each call once)</t>
  </si>
  <si>
    <t>Call Log, Attended, Received, Engineer, Product, Status</t>
  </si>
  <si>
    <t>Date_field = today AND Status = Sent</t>
  </si>
  <si>
    <t>Quotation No, Date, Customer, Nature, Status</t>
  </si>
  <si>
    <t>Customer Feedbacks Collected</t>
  </si>
  <si>
    <t>Call_attended_date = today AND Company_Name is filled</t>
  </si>
  <si>
    <t>Date, Customer, Engineer, Rating, Comments</t>
  </si>
  <si>
    <t>Pending Calls &gt; 48 Hrs</t>
  </si>
  <si>
    <t>Status = Pending AND Date_field &lt;= today - 2</t>
  </si>
  <si>
    <t>Call No, Date, Customer, Engineer, Nature, Status</t>
  </si>
  <si>
    <t>Customer Regret Cases</t>
  </si>
  <si>
    <t>Rating = 2 (any date) OR Rating = 1 today — the original Deluge precedence, kept</t>
  </si>
  <si>
    <t>Repeat Calls Logged</t>
  </si>
  <si>
    <t>Pending calls today for customers with 2 or more such calls</t>
  </si>
  <si>
    <t>Invoices Generated Today / Invoice Amounts</t>
  </si>
  <si>
    <t>Date_field = today AND Customer is filled</t>
  </si>
  <si>
    <t>Invoice No, Date, Customer, Call Log, Service Amt, Spare Amt, Final Total</t>
  </si>
  <si>
    <t>Invoice Amount Trend (AMC / Install / Repair / Service / Spares)</t>
  </si>
  <si>
    <t>Today's invoices bucketed by their call's Nature_Of_Calls</t>
  </si>
  <si>
    <t>Invoice No, Date, Customer, Call Log, amounts</t>
  </si>
  <si>
    <t>Repeat Calls Reason (each slice)</t>
  </si>
  <si>
    <t>Date_field = today AND Repeat_Call_Reason = the slice</t>
  </si>
  <si>
    <t>Call No, Date, Customer, Engineer, Repeat Reason</t>
  </si>
  <si>
    <t>Service Feedback Trend</t>
  </si>
  <si>
    <t>Company_Name and Rating both filled (all time, as in the Deluge)</t>
  </si>
  <si>
    <t>Executive bars (assigned / closed, per engineer)</t>
  </si>
  <si>
    <t>Attended today by that engineer; 'closed' adds Status = Completed</t>
  </si>
  <si>
    <t>Call Log, Attended, Engineer, Product, Status</t>
  </si>
  <si>
    <t>Weekly</t>
  </si>
  <si>
    <t>Avg Calls Attended per Engineer</t>
  </si>
  <si>
    <t>All calls in the week (the tile divides by the engineer count)</t>
  </si>
  <si>
    <t>Call No, Date, Customer, Engineer, Status</t>
  </si>
  <si>
    <t>Average Response Time</t>
  </si>
  <si>
    <t>Attended this week with both Call_Received_Date and Service_Call_Log</t>
  </si>
  <si>
    <t>Call Log, Attended, Received, Engineer, Status</t>
  </si>
  <si>
    <t>Repeat Call %</t>
  </si>
  <si>
    <t>Non-pending calls in the rolling 7 days for customers with more than one</t>
  </si>
  <si>
    <t>Call No, Date, Customer, Status</t>
  </si>
  <si>
    <t>Customer Regret %</t>
  </si>
  <si>
    <t>Feedback this week rated 1, 2 or 3</t>
  </si>
  <si>
    <t>Date, Customer, Rating, Comments</t>
  </si>
  <si>
    <t>Google Review Collection</t>
  </si>
  <si>
    <t>This week AND Did_you_collect_google_rating = Yes</t>
  </si>
  <si>
    <t>Date, Employee, Google Rating Collected</t>
  </si>
  <si>
    <t>AMC Leads Generated</t>
  </si>
  <si>
    <t>This week AND Nature = AMC AND Status = Completed</t>
  </si>
  <si>
    <t>Call No, Date, Customer, Nature, Status</t>
  </si>
  <si>
    <t>Pending Replacements</t>
  </si>
  <si>
    <t>This week AND Department = Service AND Status = Pending</t>
  </si>
  <si>
    <t>Date, Department, Defective Product, Qty, Status</t>
  </si>
  <si>
    <t>Standby Units Pending</t>
  </si>
  <si>
    <t>Outward this week AND Inward_Date blank</t>
  </si>
  <si>
    <t>Standby To, Product, Outward, Inward</t>
  </si>
  <si>
    <t>Engineer-wise bars (total / completed / pending)</t>
  </si>
  <si>
    <t>That engineer's calls this week, split by Status</t>
  </si>
  <si>
    <t>Pending Call Ageing (0-2 / 3-5 / &gt;5 days, per week)</t>
  </si>
  <si>
    <t>Pending calls in each weekly window, bucketed by age</t>
  </si>
  <si>
    <t>AMC Offer vs Closed (offered / closed / pending)</t>
  </si>
  <si>
    <t>AMC quotations this week; closed = has a matching AMC contract</t>
  </si>
  <si>
    <t>Red Tag Item Trend (per week)</t>
  </si>
  <si>
    <t>Reports in that week whose Product is flagged Is_Red_Tag_Material</t>
  </si>
  <si>
    <t>Call Log, Attended, Product, Status</t>
  </si>
  <si>
    <t>Weekly Rating Trend bars</t>
  </si>
  <si>
    <t>Feedback received in that week</t>
  </si>
  <si>
    <t>Monthly</t>
  </si>
  <si>
    <t>Calls Logged — Warranty / PW / AMC</t>
  </si>
  <si>
    <t>This month, split by Nature_Of_Calls</t>
  </si>
  <si>
    <t>Indirect Expenses</t>
  </si>
  <si>
    <t>This month's expenses plus rework cost</t>
  </si>
  <si>
    <t>Date, Engineer, Indirect, Direct</t>
  </si>
  <si>
    <t>Repeat Call Analysis</t>
  </si>
  <si>
    <t>Pending calls this month for customers with more than one</t>
  </si>
  <si>
    <t>Stock Unavailability Delays</t>
  </si>
  <si>
    <t>This month AND Status = Pending For Spares</t>
  </si>
  <si>
    <t>Training Hours Conducted</t>
  </si>
  <si>
    <t>Reports with subform rows dated this month</t>
  </si>
  <si>
    <t>Sessions in month, Total hours</t>
  </si>
  <si>
    <t>Tool &amp; Vehicle Inspections</t>
  </si>
  <si>
    <t>Production_Tool_Kit_of_Engineers1 + Vehicle_Service_Reports</t>
  </si>
  <si>
    <t>Records for this month name; Approved = completed</t>
  </si>
  <si>
    <t>Month, Status, Items</t>
  </si>
  <si>
    <t>Customer Feedback Summary</t>
  </si>
  <si>
    <t>All feedback with a customer; positive = rated 4 or 5</t>
  </si>
  <si>
    <t>Expense Breakdown (direct / indirect)</t>
  </si>
  <si>
    <t>This month's expense records</t>
  </si>
  <si>
    <t>Complaint Cost by Category</t>
  </si>
  <si>
    <t>Spare_Replaced lines this month, split by Nature_of_Calls</t>
  </si>
  <si>
    <t>Date, Nature, Parent Status, Product</t>
  </si>
  <si>
    <t>Repeat Call Trend (per month)</t>
  </si>
  <si>
    <t>Non-pending calls that month for customers with more than one</t>
  </si>
  <si>
    <t>Customer Satisfaction (per month + total)</t>
  </si>
  <si>
    <t>Ratings 1-5 in that month of the current year</t>
  </si>
  <si>
    <t>Recent Complaints</t>
  </si>
  <si>
    <t>This month AND rating 3 or lower</t>
  </si>
  <si>
    <t>Calibration / Maintenance</t>
  </si>
  <si>
    <t>All calibration records</t>
  </si>
  <si>
    <t>Equipment, Meter Type, Make, Type, Rev Date, Rev No, Tested By, Approved By</t>
  </si>
  <si>
    <t>KPI tiles</t>
  </si>
  <si>
    <t>Warranty / Post Warranty Expense</t>
  </si>
  <si>
    <t>Expense lines with Nature_of_Calls = Warranty / PW</t>
  </si>
  <si>
    <t>Nature of Call, Direct Expense, Parent Expense</t>
  </si>
  <si>
    <t>Overall_Engineer over expenses naming an engineer</t>
  </si>
  <si>
    <t>Date, Engineer, Indirect</t>
  </si>
  <si>
    <t>Invoice Amounts</t>
  </si>
  <si>
    <t>Final_Total over invoices naming a customer</t>
  </si>
  <si>
    <t>Date, Customer, Call Log, Coordinator, Final Total</t>
  </si>
  <si>
    <t>Service Health</t>
  </si>
  <si>
    <t>Total Open Calls</t>
  </si>
  <si>
    <t>This month AND Status = Open</t>
  </si>
  <si>
    <t>Date, Customer, Engineer, Nature, Status</t>
  </si>
  <si>
    <t>Ageing</t>
  </si>
  <si>
    <t>This month, not Completed, logged more than 2 days ago</t>
  </si>
  <si>
    <t>Date, Customer, Engineer, Status</t>
  </si>
  <si>
    <t>Complaints %</t>
  </si>
  <si>
    <t>Google Review %</t>
  </si>
  <si>
    <t>This month AND Google_Rating filled</t>
  </si>
  <si>
    <t>Date Logged, Google Rating</t>
  </si>
  <si>
    <t>Average Rating</t>
  </si>
  <si>
    <t>This month with a rating above 0</t>
  </si>
  <si>
    <t>Satisfaction</t>
  </si>
  <si>
    <t>Monthly bars + review count</t>
  </si>
  <si>
    <t>Ratings 1-5 per month of the current year</t>
  </si>
  <si>
    <t>Rating 3 or lower with a customer and a date</t>
  </si>
  <si>
    <t>Cross-Department</t>
  </si>
  <si>
    <t>Calls Delayed by Material Unavailability</t>
  </si>
  <si>
    <t>Last 30 days AND Status = Pending For Spares</t>
  </si>
  <si>
    <t>Attended, Product, Status, Times Visited</t>
  </si>
  <si>
    <t>Cost vs Revenue</t>
  </si>
  <si>
    <t>Invoiced Amount</t>
  </si>
  <si>
    <t>Final_Total over all invoices</t>
  </si>
  <si>
    <t>Engineer Index</t>
  </si>
  <si>
    <t>Engineer name / Calls Completed</t>
  </si>
  <si>
    <t>That engineer's calls this month; completed adds Status = Completed</t>
  </si>
  <si>
    <t>Risk &amp; Compliance</t>
  </si>
  <si>
    <t>Total Inspections / Calibration / Vehicle / Tools</t>
  </si>
  <si>
    <t>Tool kit, calibration and vehicle reports</t>
  </si>
  <si>
    <t>Records for the current month</t>
  </si>
  <si>
    <t>Month, Status / UUC-E, Rev Date, Approved By</t>
  </si>
  <si>
    <t>Customer Experience</t>
  </si>
  <si>
    <t>Satisfaction Index</t>
  </si>
  <si>
    <t>Rated 4-5, as a share of everything rated 3-5</t>
  </si>
  <si>
    <t>Repeat Issues</t>
  </si>
  <si>
    <t>Repeat count per product</t>
  </si>
  <si>
    <t>How_Many_Times_Visited &gt; 1, grouped by Product</t>
  </si>
  <si>
    <t>Invoice Trend</t>
  </si>
  <si>
    <t>AMC / Install / Warranty / Post Warranty</t>
  </si>
  <si>
    <t>Invoices bucketed by their call's Nature_Of_Calls</t>
  </si>
  <si>
    <t>Date, Customer, Call Log, Final Total</t>
  </si>
  <si>
    <t>Repeat Calls</t>
  </si>
  <si>
    <t>Each reason slice</t>
  </si>
  <si>
    <t>Today's calls with that Repeat_Call_Reason</t>
  </si>
  <si>
    <t>Date, Customer, Engineer, Repeat Reason</t>
  </si>
  <si>
    <t>Feedback Gauge</t>
  </si>
  <si>
    <t>Company_Name and Rating both filled</t>
  </si>
  <si>
    <t>AMC</t>
  </si>
  <si>
    <t>Offers / Closed / Pending</t>
  </si>
  <si>
    <t>This month, Nature contains AMC; closed = has an AMC contract</t>
  </si>
  <si>
    <t>Date, Customer, Nature, Status</t>
  </si>
  <si>
    <t>Leads</t>
  </si>
  <si>
    <t>Lead_Date = today</t>
  </si>
  <si>
    <t>Lead Date, Customer, Source, Status</t>
  </si>
  <si>
    <t>Quotations</t>
  </si>
  <si>
    <t>Date, Customer, Status, Grand Total</t>
  </si>
  <si>
    <t>Follow-Ups (done)</t>
  </si>
  <si>
    <t>Follow_up lines executed today with Status = Completed</t>
  </si>
  <si>
    <t>Executed, Status, Customer</t>
  </si>
  <si>
    <t>Follow-Ups (pending) / Missed Schedule</t>
  </si>
  <si>
    <t>Follow_up_Date in the past AND Status = Pending</t>
  </si>
  <si>
    <t>Date, Customer, Follow-up Date, Status, Lines</t>
  </si>
  <si>
    <t>Orders</t>
  </si>
  <si>
    <t>Date, Quotation No, Quote Amount, Final Amount</t>
  </si>
  <si>
    <t>Payments</t>
  </si>
  <si>
    <t>Payment_Trackings_Format + Payment_Made_Report</t>
  </si>
  <si>
    <t>Dated today with a non-zero amount</t>
  </si>
  <si>
    <t>Payment Date, Due Date, Advance, Status</t>
  </si>
  <si>
    <t>Pre-Visits</t>
  </si>
  <si>
    <t>Visit_Date = today AND Status = Requested</t>
  </si>
  <si>
    <t>Visit Date, Status</t>
  </si>
  <si>
    <t>Admin Delay</t>
  </si>
  <si>
    <t>Status = Draft AND dated before yesterday</t>
  </si>
  <si>
    <t>Uncontacted Quotes</t>
  </si>
  <si>
    <t>Has_Follow_up = false</t>
  </si>
  <si>
    <t>Date, Customer, Status, Lines</t>
  </si>
  <si>
    <t>Quotations pending follow-up</t>
  </si>
  <si>
    <t>Pending with a Follow-up Date more than 3 days ago</t>
  </si>
  <si>
    <t>Date, Customer, Follow-up Date, Status</t>
  </si>
  <si>
    <t>Payments overdue</t>
  </si>
  <si>
    <t>Due more than 15 days ago AND not Paid</t>
  </si>
  <si>
    <t>Customers inactive</t>
  </si>
  <si>
    <t>Status = Inactive</t>
  </si>
  <si>
    <t>Service delay</t>
  </si>
  <si>
    <t>Older than 3 days AND not Completed</t>
  </si>
  <si>
    <t>Order Lost Analysis (each legend slice)</t>
  </si>
  <si>
    <t>Lost today with that Type_Of_Lost</t>
  </si>
  <si>
    <t>Date, Customer, Reason, Quotation</t>
  </si>
  <si>
    <t>Admin KPI</t>
  </si>
  <si>
    <t>Quotations Created</t>
  </si>
  <si>
    <t>Dated this month</t>
  </si>
  <si>
    <t>Quotation No, Date, Customer, Status, Grand Total</t>
  </si>
  <si>
    <t>Avg Quote Delay</t>
  </si>
  <si>
    <t>First quotation per lead; delay = days from lead, one day of grace</t>
  </si>
  <si>
    <t>Payment Delay</t>
  </si>
  <si>
    <t>Payment Date after Due Date</t>
  </si>
  <si>
    <t>Payment Date, Due Date, Customer, Advance, Status</t>
  </si>
  <si>
    <t>Leads Attended (per source)</t>
  </si>
  <si>
    <t>This month, from that source, no longer Open</t>
  </si>
  <si>
    <t>Customer Feedback</t>
  </si>
  <si>
    <t>Date, Customer, Overall Performance, Remarks</t>
  </si>
  <si>
    <t>Missed Calls</t>
  </si>
  <si>
    <t>Follow-up lines due before today that are still not done</t>
  </si>
  <si>
    <t>Quote Accuracy</t>
  </si>
  <si>
    <t>This month where Final Amount equals Quote Amount</t>
  </si>
  <si>
    <t>Date, Quotation No, Customer, amounts</t>
  </si>
  <si>
    <t>Follow-ups Done / Pending</t>
  </si>
  <si>
    <t>All follow-up lines, split by Status</t>
  </si>
  <si>
    <t>Admin Performance table</t>
  </si>
  <si>
    <t>This month's quotations grouped by Prepared_By</t>
  </si>
  <si>
    <t>Sales Head &amp; MD</t>
  </si>
  <si>
    <t>Quotations Approved</t>
  </si>
  <si>
    <t>This month with Status in Approved / Accepted / Confirmed</t>
  </si>
  <si>
    <t>Quotation No, Date, Customer, Status</t>
  </si>
  <si>
    <t>Pre-Visits / Customer Visits</t>
  </si>
  <si>
    <t>Visit Date, Customer, Status</t>
  </si>
  <si>
    <t>Customer Satisfaction</t>
  </si>
  <si>
    <t>This month with Overall Performance above 0</t>
  </si>
  <si>
    <t>New Leads (per source)</t>
  </si>
  <si>
    <t>This month with that Lead Source</t>
  </si>
  <si>
    <t>Conversion Rate</t>
  </si>
  <si>
    <t>Orders this month over quotations this month</t>
  </si>
  <si>
    <t>Combined</t>
  </si>
  <si>
    <t>Order Closed team strip</t>
  </si>
  <si>
    <t>This month grouped by Employee_Name</t>
  </si>
  <si>
    <t>Date, Employee, Customer, Amount</t>
  </si>
  <si>
    <t>KPI row</t>
  </si>
  <si>
    <t>Total Revenue</t>
  </si>
  <si>
    <t>Final_Amount summed over every order</t>
  </si>
  <si>
    <t>Date, Quotation No, Customer, Final Amount</t>
  </si>
  <si>
    <t>Status = Confirmed, over the total lead count</t>
  </si>
  <si>
    <t>Date, Customer, Status, Value</t>
  </si>
  <si>
    <t>Outstanding Payments</t>
  </si>
  <si>
    <t>Rows with a positive Balance_Amount</t>
  </si>
  <si>
    <t>Payment Date, Payable, Balance</t>
  </si>
  <si>
    <t>Lost Orders %</t>
  </si>
  <si>
    <t>Status = Cancel</t>
  </si>
  <si>
    <t>Customer Growth</t>
  </si>
  <si>
    <t>Every lead record</t>
  </si>
  <si>
    <t>Orders vs Payments</t>
  </si>
  <si>
    <t>Orders / Payments legend</t>
  </si>
  <si>
    <t>All_Order_Confirmations, All_Payment_Trackings</t>
  </si>
  <si>
    <t>Every record in each report</t>
  </si>
  <si>
    <t>Date, Customer, amounts, Status</t>
  </si>
  <si>
    <t>ABC Customer Revenue Analysis</t>
  </si>
  <si>
    <t>Category A / B / C (click the bar, value, or customer count)</t>
  </si>
  <si>
    <t>Customers whose total Payment_Tracking revenue (via the Customer_Name lookup) falls in that category's threshold band</t>
  </si>
  <si>
    <t>Customer, Code, Revenue (synthetic row — revenue is computed per customer, not a raw report field)</t>
  </si>
  <si>
    <t>Tiles</t>
  </si>
  <si>
    <t>Total Material Transactions</t>
  </si>
  <si>
    <t>Date, Department, Issued By, Status, Item lines, Qty issued, Qty returned</t>
  </si>
  <si>
    <t>Production Stops (Material Shortage)</t>
  </si>
  <si>
    <t>Today, Department = Production, Status in the shortage list</t>
  </si>
  <si>
    <t>Date, Department, Issued By, Status, quantities</t>
  </si>
  <si>
    <t>Items Issued to Service</t>
  </si>
  <si>
    <t>Today AND Department = Service</t>
  </si>
  <si>
    <t>Items Returned from Service</t>
  </si>
  <si>
    <t>Of those, ones with Returned_Item_Qty above zero</t>
  </si>
  <si>
    <t>Date, Department, Issued By, quantities</t>
  </si>
  <si>
    <t>Rejected Items Received</t>
  </si>
  <si>
    <t>Low Stock Alerts</t>
  </si>
  <si>
    <t>Available_Stock below Minimum_Stock_Level</t>
  </si>
  <si>
    <t>SKU, Product, Available, Minimum, Price, Red Tagged</t>
  </si>
  <si>
    <t>Red Tag Materials Added</t>
  </si>
  <si>
    <t>Is_Red_Tag_Material = true AND Red_Tagged_Date = today</t>
  </si>
  <si>
    <t>Purchase Orders — Total / Billed / Received</t>
  </si>
  <si>
    <t>PO_Date = today, then by Status</t>
  </si>
  <si>
    <t>PO Number, PO Date, Vendor, Raised By, Status, Amount</t>
  </si>
  <si>
    <t>PO Progress</t>
  </si>
  <si>
    <t>Funnel stages</t>
  </si>
  <si>
    <t>Today's POs by Status</t>
  </si>
  <si>
    <t>Material Flow chart</t>
  </si>
  <si>
    <t>Each hourly point</t>
  </si>
  <si>
    <t>Requisitions created in that hour today</t>
  </si>
  <si>
    <t>Service Flow</t>
  </si>
  <si>
    <t>Each technician</t>
  </si>
  <si>
    <t>Today's service requisitions issued by that person</t>
  </si>
  <si>
    <t>KPI table</t>
  </si>
  <si>
    <t>Rejected Items (Prod + Service)</t>
  </si>
  <si>
    <t>Rolling 7 days, Production or Service, with a Defective Product</t>
  </si>
  <si>
    <t>Replacement items not received &gt; 2 weeks</t>
  </si>
  <si>
    <t>Older than two weeks AND Status = Pending</t>
  </si>
  <si>
    <t>Items given to service</t>
  </si>
  <si>
    <t>Rolling 7 days AND Department = Service</t>
  </si>
  <si>
    <t>Date, Department, Issued By, Modified, quantities</t>
  </si>
  <si>
    <t>Service requisitions modified in the rolling 7 days</t>
  </si>
  <si>
    <t>Red tag material created</t>
  </si>
  <si>
    <t>Red tag with a Red_Tagged_Date in the rolling 7 days</t>
  </si>
  <si>
    <t>Available, Minimum, Price, Red Tagged, Modified</t>
  </si>
  <si>
    <t>Issued vs Returned</t>
  </si>
  <si>
    <t>This week's requisitions issued by that person</t>
  </si>
  <si>
    <t>Indirect Expense</t>
  </si>
  <si>
    <t>Each week column</t>
  </si>
  <si>
    <t>Rework dated in that week</t>
  </si>
  <si>
    <t>Date, Total Expense</t>
  </si>
  <si>
    <t>Rejected Items</t>
  </si>
  <si>
    <t>Each day point</t>
  </si>
  <si>
    <t>Rejections on that day</t>
  </si>
  <si>
    <t>Material Flow</t>
  </si>
  <si>
    <t>Each day bar / Stock Out</t>
  </si>
  <si>
    <t>All_Material_Requisitions1 / All_Product</t>
  </si>
  <si>
    <t>Requisitions on that day; stock-outs are products under their minimum</t>
  </si>
  <si>
    <t>Date, Department, quantities / stock levels</t>
  </si>
  <si>
    <t>New Suppliers Added</t>
  </si>
  <si>
    <t>Added this month AND Vendor_Status = Approved</t>
  </si>
  <si>
    <t>Vendor, Status, Added, Products listed</t>
  </si>
  <si>
    <t>Supplier Performance Rating</t>
  </si>
  <si>
    <t>Ratings this month</t>
  </si>
  <si>
    <t>Date, Supplier, Product, Total Rating</t>
  </si>
  <si>
    <t>Tools Inspection Done</t>
  </si>
  <si>
    <t>Tools with a Given To, modified this month</t>
  </si>
  <si>
    <t>Given To, Status, Modified</t>
  </si>
  <si>
    <t>Min Stock List Updated</t>
  </si>
  <si>
    <t>Ordered this month AND stock at or below the minimum</t>
  </si>
  <si>
    <t>Product, Available, Minimum, Price, Last Ordered</t>
  </si>
  <si>
    <t>Red Tag Material Value</t>
  </si>
  <si>
    <t>Red tag AND modified this month</t>
  </si>
  <si>
    <t>Suppliers Below 70% Rating</t>
  </si>
  <si>
    <t>Ratings from suppliers whose monthly average is under 70</t>
  </si>
  <si>
    <t>Supplier Registration</t>
  </si>
  <si>
    <t>Every vendor added this month</t>
  </si>
  <si>
    <t>Non-Moving Stock (&gt; 6M)</t>
  </si>
  <si>
    <t>Red tag with stock and no order in six months</t>
  </si>
  <si>
    <t>This month, Type = Replacement, Status = Pending</t>
  </si>
  <si>
    <t>Date, Type, Status</t>
  </si>
  <si>
    <t>Alternate Supplier Found</t>
  </si>
  <si>
    <t>New suppliers duplicating an existing Product Code + Make</t>
  </si>
  <si>
    <t>Vendor table</t>
  </si>
  <si>
    <t>PO Count / Delivery Delays</t>
  </si>
  <si>
    <t>POs Issued this month to that vendor; delays compare Received to Expected</t>
  </si>
  <si>
    <t>PO Date, Vendor, Status, Expected Delivery</t>
  </si>
  <si>
    <t>Non-Moving trend</t>
  </si>
  <si>
    <t>Each month bar</t>
  </si>
  <si>
    <t>Non-moving as of that month</t>
  </si>
  <si>
    <t>PO Status</t>
  </si>
  <si>
    <t>Each stacked segment</t>
  </si>
  <si>
    <t>That week of the month, that Status</t>
  </si>
  <si>
    <t>Supplier Rating</t>
  </si>
  <si>
    <t>Each supplier column</t>
  </si>
  <si>
    <t>That supplier's ratings this month</t>
  </si>
  <si>
    <t>% Reduction in Non-Moving Stock</t>
  </si>
  <si>
    <t>Stock on hand with no order in six months</t>
  </si>
  <si>
    <t>Code, Product, Type, Available, Price, Stock value, Last Ordered</t>
  </si>
  <si>
    <t>% Cost Saved via Second Suppliers</t>
  </si>
  <si>
    <t>Cheapest vs dearest price per Product Code + Make across vendors</t>
  </si>
  <si>
    <t>% Improvement in Supplier Ratings</t>
  </si>
  <si>
    <t>This year's ratings above 0</t>
  </si>
  <si>
    <t>Date, Supplier, Total Rating</t>
  </si>
  <si>
    <t>Total Indirect Expense</t>
  </si>
  <si>
    <t>Rework dated this year</t>
  </si>
  <si>
    <t>Scrap Value Realized</t>
  </si>
  <si>
    <t>This year with a Defective Product, valued at the product's Price</t>
  </si>
  <si>
    <t>Date, Defective Product</t>
  </si>
  <si>
    <t>Avg Material Lead Time</t>
  </si>
  <si>
    <t>Received this year</t>
  </si>
  <si>
    <t>PO, Received</t>
  </si>
  <si>
    <t>New Suppliers Onboarded</t>
  </si>
  <si>
    <t>Added this year with Vendor_Status = Approved</t>
  </si>
  <si>
    <t>Rework in that month</t>
  </si>
  <si>
    <t>Production Overview</t>
  </si>
  <si>
    <t>Weekly/Monthly/Yearly bars (planned + actual)</t>
  </si>
  <si>
    <t>That period; planned = Status ≠ Draft, actual = Status = Completed</t>
  </si>
  <si>
    <t>Date, Status, Man Hours</t>
  </si>
  <si>
    <t>On-Time Delivery Trend</t>
  </si>
  <si>
    <t>Each week bar</t>
  </si>
  <si>
    <t>Orders dated (Date_field) in that week of the current month</t>
  </si>
  <si>
    <t>Order No, Customer, Product, Committed, Actual Dispatch, Remarks</t>
  </si>
  <si>
    <t>Order Commitment &amp; Delay Status</t>
  </si>
  <si>
    <t>Total / On Time / Delayed / Critical / Pending</t>
  </si>
  <si>
    <t>Committed this week (Sun–today); classified by Actual vs Committed delivery date</t>
  </si>
  <si>
    <t>Quality, Complaints &amp; Rework</t>
  </si>
  <si>
    <t>Rework Cases / Rejection Cases (Today)</t>
  </si>
  <si>
    <t>All_Reworks / All_Rejection_Module</t>
  </si>
  <si>
    <t>Dated today only — the original's own week_start variable was computed but never used</t>
  </si>
  <si>
    <t>Date</t>
  </si>
  <si>
    <t>Rework Trend</t>
  </si>
  <si>
    <t>Each weekly/monthly/yearly bar</t>
  </si>
  <si>
    <t>Rework in that period, against Add_Work_Order_SERVO as the total-production denominator (no Status filter)</t>
  </si>
  <si>
    <t>Maintenance</t>
  </si>
  <si>
    <t>Machine / Vehicle / Calibration rows</t>
  </si>
  <si>
    <t>All_Preventive_Maintenance</t>
  </si>
  <si>
    <t>Type_of_Maintenance contains Maintenance / Servicing And Oil Check / Calibration</t>
  </si>
  <si>
    <t>Maintenance Date, Frequency, Due Date, Type</t>
  </si>
  <si>
    <t>Top 5 Red-Tag Items</t>
  </si>
  <si>
    <t>Each row</t>
  </si>
  <si>
    <t>Is_Red_Tag_Material = true, last ordered before last month, top 5 by Price</t>
  </si>
  <si>
    <t>Product, Price, Last Order Date</t>
  </si>
  <si>
    <t>Today's &amp; Weekly Overview</t>
  </si>
  <si>
    <t>Order Delays (Today / This Week)</t>
  </si>
  <si>
    <t>Committed in that window with no Actual_Delivery_Date yet</t>
  </si>
  <si>
    <t>Rework Cases (Today / This Week)</t>
  </si>
  <si>
    <t>Rework dated in that window</t>
  </si>
  <si>
    <t>Man-Hours Logged (Today / This Week)</t>
  </si>
  <si>
    <t>Work orders dated in that window with Man_Hours filled in</t>
  </si>
  <si>
    <t>Production Dashboard — panels with no data source</t>
  </si>
  <si>
    <t>Roughly two thirds of the original Deluge page was hardcoded demo numbers with no custom function behind them at all — not inferred, not guessed, literally typed constants like bom_accuracy = 97. Nothing was invented to fill these in: the widget shows each one as an explicit ‘Not connected to data’ panel. Column D cross-checks each one against dashboard_docs/Production_Dashboard.docx — where the doc's own “Changes required in field” section confirms a field is genuinely new (not yet in the app), that's called out explicitly.</t>
  </si>
  <si>
    <t>IMPORTANT — this sheet only covers panels that never had a real data source, even in the original Deluge page. It does NOT cover the separate problem found this session: 4 of the 6 reports the REAL, code-backed panels above depend on (Weekly/Monthly/Yearly Planned vs Actual Production, Rework Trend, the Maintenance table) currently fail or return nothing when read from Zoho. See the "Broken Reports" sheet for those — they are fixable by correcting a report link name, not by building anything new.</t>
  </si>
  <si>
    <t>Panel</t>
  </si>
  <si>
    <t>What the original showed</t>
  </si>
  <si>
    <t>What it would need to become real</t>
  </si>
  <si>
    <t>Per the spec doc</t>
  </si>
  <si>
    <t>Customer Complaints tile</t>
  </si>
  <si>
    <t>Hardcoded literal "N/A"</t>
  </si>
  <si>
    <t>A complaint-logging report with a date and a production-related flag</t>
  </si>
  <si>
    <t>Confirmed NEW field — doc: “customer complaint due to production like wiring loose connection, Quality check”</t>
  </si>
  <si>
    <t>Complaint Types Breakdown (pie)</t>
  </si>
  <si>
    <t>wiring/finish/other percentages hardcoded to 0 — permanently an empty pie even in the original</t>
  </si>
  <si>
    <t>Complaint records categorised by type (Wiring Loose / Finish Issue / Other — doc's own category names)</t>
  </si>
  <si>
    <t>Same complaint log as the tile above</t>
  </si>
  <si>
    <t>Material, BOM &amp; Inventory Control tiles</t>
  </si>
  <si>
    <t>4 tiles, all literal numbers (Production Stops, Inventory Value, Red-Tag count, Parts Awaiting)</t>
  </si>
  <si>
    <t>Production-stoppage log; stock valuation report; a material-request/backorder report</t>
  </si>
  <si>
    <t>Production Stops confirmed NEW field — doc: “if there any production stop or production delay due to non-availability of item”. Inventory Value target &lt; ₹5L per the doc (a different figure, “red if &gt;₹50k”, appears elsewhere in the same doc — worth asking which is right).</t>
  </si>
  <si>
    <t>Material Shortage Impact (weekly/monthly/yearly)</t>
  </si>
  <si>
    <t>12 bars, all literal numbers reused across all three tabs</t>
  </si>
  <si>
    <t>A function called getMaterialShortageImpackWeekly() exists but actually computes planned work-order counts (duplicates the Production Performance panel) — it does not compute shortages, and the page never called it</t>
  </si>
  <si>
    <t>Doc wants a “Material Shortage Trend – Line chart” but doesn't name a source either</t>
  </si>
  <si>
    <t>This Month Products &amp; Indirect Expenses table</t>
  </si>
  <si>
    <t>3 hardcoded demo rows (ORD-1205/1206/1207)</t>
  </si>
  <si>
    <t>A per-order cost/expense report: man-hours cost, freight, packing, other, joined to Order Confirmation</t>
  </si>
  <si>
    <t>Doc gives exact columns: Order No, Product, Man-Hours, Labour Cost, Transport, Cutting, Powder Coating, Other Outsource, Total Indirect Cost, % of Order Value. Man-Hours is now real (Today's &amp; Weekly Overview panel) — the rest is a confirmed NEW field per the doc's fabricator/cutting/coating note.</t>
  </si>
  <si>
    <t>Inventory &amp; Material tiles</t>
  </si>
  <si>
    <t>3 hardcoded values (Holding Days, Inventory Value, Material Shortages)</t>
  </si>
  <si>
    <t>Same stock valuation source as the Material/BOM panel above</t>
  </si>
  <si>
    <t>Doc targets: Holding Days &lt; 30 (red if &gt; 65); Material Shortages 0 orders affected (alert if &gt; 0)</t>
  </si>
  <si>
    <t>Improvement, Training &amp; Risk Management table</t>
  </si>
  <si>
    <t>6 hardcoded rows</t>
  </si>
  <si>
    <t>A Kaizen/Six Sigma log, a training log with expenses, a risk register</t>
  </si>
  <si>
    <t>Confirmed NEW fields — doc: “Six sigma and Kaizen include as field as well KPI for individual” and “Internal and external training for production people given or not and expenses for the same”</t>
  </si>
  <si>
    <t>Improvements Implemented vs Cost Savings chart</t>
  </si>
  <si>
    <t>Hardcoded per-month counts and cost-saving amounts</t>
  </si>
  <si>
    <t>Same Kaizen/improvement log as above, with a cost-saving amount per entry</t>
  </si>
  <si>
    <t>See row above</t>
  </si>
  <si>
    <t>KPI Performance Trend — On-Time Delivery (3 months)  [NOW LIVE]</t>
  </si>
  <si>
    <t>Hardcoded 50% / 93% / 95%</t>
  </si>
  <si>
    <t>DONE this session — calcMonthlyOnTimeTrend() computes real On-Time % for the last 3 months from All_Order_Confirmations, same logic as the weekly trend above. Click any point to drill into the orders behind it.</t>
  </si>
  <si>
    <t>The doc wants 2 more lines here (BOM Accuracy %, Rework %) — still blocked, no data source exists for either yet.</t>
  </si>
  <si>
    <t>Individual KPI &amp; Team Evaluation table</t>
  </si>
  <si>
    <t>11 hardcoded rows</t>
  </si>
  <si>
    <t>A per-metric target/current pair — several (rework %, maintenance compliance %) already have a real source elsewhere on this dashboard and just need pulling into this table; the rest need their own source</t>
  </si>
  <si>
    <t>Confirmed NEW form needed — doc: “individual performance report submitted for each production people by the head (KPI as well as should be added in the field)”</t>
  </si>
  <si>
    <t>Everything that still needs your confirmation</t>
  </si>
  <si>
    <t>Each row is a link name or a business rule that was inferred rather than read from working code. Confirm it in the Creator app builder, then correct the CFG block at the top of the dashboard's .js file if it differs.</t>
  </si>
  <si>
    <t>Field / rule</t>
  </si>
  <si>
    <t>Why it matters</t>
  </si>
  <si>
    <t>Confirmed? (y/n)</t>
  </si>
  <si>
    <t>Corrected this session — "Quotation_Number" doesn't exist on Service_Quotations; the real field "Service_Quotation_No" is already used in the code, nothing to add in Zoho.</t>
  </si>
  <si>
    <t>y</t>
  </si>
  <si>
    <t>A DIFFERENT lookup field than Customer_Company above — both are read from this same report by different functions in the existing code. Confirm both link names; if only one is real, abcClassification()'s revenue-by-customer grouping (and so the whole ABC drill-down) will silently read as empty.</t>
  </si>
  <si>
    <t>A DIFFERENT amount field than Advance_Amount above, used only by the ABC chart</t>
  </si>
  <si>
    <t>Funnel stages assumed: Draft, Issued, Received, Billed, Closed.</t>
  </si>
  <si>
    <t>PO_No</t>
  </si>
  <si>
    <t>If this link name is wrong the PO Number column is blank — the console says so on load.</t>
  </si>
  <si>
    <t>Tries in order: Total_Amount, Grand_Total, PO_Amount, Net_Amount, Final_Amount, Total. The console names the one it found, or says none matched.</t>
  </si>
  <si>
    <t>Tries in order: Prepared_By, Raised_By, Employee_Name, Added_User, Created_By.</t>
  </si>
  <si>
    <t>The original Deluge used 'Date' in one function and 'PO_Date' in another. PO_Date is used everywhere here.</t>
  </si>
  <si>
    <t>Lookup whose ID matches Purchase_Order.ID</t>
  </si>
  <si>
    <t>Received_Date</t>
  </si>
  <si>
    <t>Displayed as N/A on the tile by design</t>
  </si>
  <si>
    <t>Report link name itself is a guess — no other dashboard reads this form. Also try 'All_Work_Order_SERVO'.</t>
  </si>
  <si>
    <t>Dead in the original — kept here in case man-hours tiles get wired up later</t>
  </si>
  <si>
    <t>Note the source's own misspelling: 'Commited', one T</t>
  </si>
  <si>
    <t>Lookup; Deluge reads .Customer_Name off it</t>
  </si>
  <si>
    <t>Lookup; Deluge reads .Product_Name off it</t>
  </si>
  <si>
    <t>Deluge form is literally named 'Rework' — may or may not be the same physical report Service's All_Reworks points to. No cost/amount field is used anywhere in the Production functions.</t>
  </si>
  <si>
    <t>All_Rejection_Module</t>
  </si>
  <si>
    <t>Deluge form is 'Rejection_Module' — distinct from the Service/Store rejection-and-replacement reports</t>
  </si>
  <si>
    <t>Ported exactly as the Deluge wrote it; worth confirming with whoever owns this form</t>
  </si>
  <si>
    <t>(example)</t>
  </si>
  <si>
    <t>Fill the yellow column with y or n; add the correct link name here if it differs.</t>
  </si>
  <si>
    <t>Legend:</t>
  </si>
  <si>
    <t>Yellow cells are the ones to fill in. Everything else is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</si>
</sst>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color rgb="FF1F3864"/>
      <name val="Arial"/>
    </font>
    <font>
      <sz val="10"/>
      <color rgb="FF555555"/>
      <name val="Arial"/>
    </font>
    <font>
      <b/>
      <sz val="11"/>
      <color rgb="FF1F3864"/>
      <name val="Arial"/>
    </font>
    <font>
      <sz val="10"/>
      <name val="Arial"/>
    </font>
    <font>
      <b/>
      <sz val="10"/>
      <name val="Arial"/>
    </font>
    <font>
      <b/>
      <sz val="10"/>
      <color rgb="FFFFFFFF"/>
      <name val="Arial"/>
    </font>
    <font>
      <sz val="9"/>
      <name val="Consolas"/>
    </font>
    <font>
      <i/>
      <sz val="10"/>
      <color rgb="FF888888"/>
      <name val="Arial"/>
    </font>
    <font>
      <i/>
      <sz val="9"/>
      <color rgb="FF888888"/>
      <name val="Consolas"/>
    </font>
    <font>
      <sz val="10"/>
      <color rgb="FF000000"/>
      <name val="Arial"/>
    </font>
    <font>
      <sz val="10"/>
      <color rgb="FF375623"/>
      <name val="Arial"/>
    </font>
    <font>
      <sz val="10"/>
      <color rgb="FF1F4E78"/>
      <name val="Arial"/>
    </font>
    <font>
      <sz val="10"/>
      <color rgb="FF721C24"/>
      <name val="Arial"/>
    </font>
    <font>
      <sz val="10"/>
      <color rgb="FF9C5700"/>
      <name val="Arial"/>
    </font>
    <font>
      <b/>
      <sz val="10"/>
      <color rgb="FF9C0006"/>
      <name val="Arial"/>
    </font>
    <font>
      <sz val="10"/>
      <color rgb="FF00B050"/>
      <name val="Arial"/>
    </font>
    <font>
      <sz val="11"/>
      <color rgb="FF00B050"/>
      <name val="Calibri"/>
      <family val="2"/>
      <scheme val="minor"/>
    </font>
  </fonts>
  <fills count="11">
    <fill>
      <patternFill patternType="none"/>
    </fill>
    <fill>
      <patternFill patternType="gray125"/>
    </fill>
    <fill>
      <patternFill patternType="solid">
        <fgColor rgb="FF1F3864"/>
      </patternFill>
    </fill>
    <fill>
      <patternFill patternType="solid">
        <fgColor rgb="FFF7F9FC"/>
      </patternFill>
    </fill>
    <fill>
      <patternFill patternType="solid">
        <fgColor rgb="FFE2EFDA"/>
      </patternFill>
    </fill>
    <fill>
      <patternFill patternType="solid">
        <fgColor rgb="FFDDEBF7"/>
      </patternFill>
    </fill>
    <fill>
      <patternFill patternType="solid">
        <fgColor rgb="FFFFF2CC"/>
      </patternFill>
    </fill>
    <fill>
      <patternFill patternType="solid">
        <fgColor rgb="FFFFFF00"/>
      </patternFill>
    </fill>
    <fill>
      <patternFill patternType="solid">
        <fgColor rgb="FFF8D7DA"/>
      </patternFill>
    </fill>
    <fill>
      <patternFill patternType="solid">
        <fgColor rgb="FFFCE4D6"/>
      </patternFill>
    </fill>
    <fill>
      <patternFill patternType="solid">
        <fgColor rgb="FFFFC7CE"/>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2" borderId="1" xfId="0" applyFont="1" applyFill="1" applyBorder="1" applyAlignment="1">
      <alignment vertical="center" wrapText="1"/>
    </xf>
    <xf numFmtId="0" fontId="5" fillId="0" borderId="1" xfId="0" applyFont="1" applyBorder="1" applyAlignment="1">
      <alignment vertical="top"/>
    </xf>
    <xf numFmtId="0" fontId="4" fillId="0" borderId="1" xfId="0" applyFont="1" applyBorder="1" applyAlignment="1">
      <alignment vertical="top"/>
    </xf>
    <xf numFmtId="0" fontId="7" fillId="0" borderId="1" xfId="0" applyFont="1" applyBorder="1" applyAlignment="1">
      <alignment vertical="top"/>
    </xf>
    <xf numFmtId="0" fontId="7" fillId="0" borderId="1" xfId="0" applyFont="1" applyBorder="1" applyAlignment="1">
      <alignment vertical="top"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5" fillId="3" borderId="1" xfId="0" applyFont="1" applyFill="1" applyBorder="1" applyAlignment="1">
      <alignment vertical="top"/>
    </xf>
    <xf numFmtId="0" fontId="4" fillId="3" borderId="1" xfId="0" applyFont="1" applyFill="1" applyBorder="1" applyAlignment="1">
      <alignment vertical="top"/>
    </xf>
    <xf numFmtId="0" fontId="7" fillId="3" borderId="1" xfId="0" applyFont="1" applyFill="1" applyBorder="1" applyAlignment="1">
      <alignment vertical="top"/>
    </xf>
    <xf numFmtId="0" fontId="7" fillId="3" borderId="1" xfId="0" applyFont="1" applyFill="1" applyBorder="1" applyAlignment="1">
      <alignment vertical="top" wrapText="1"/>
    </xf>
    <xf numFmtId="0" fontId="4" fillId="3" borderId="1" xfId="0" applyFont="1" applyFill="1" applyBorder="1" applyAlignment="1">
      <alignment horizontal="center" vertical="top"/>
    </xf>
    <xf numFmtId="0" fontId="4" fillId="3" borderId="1" xfId="0" applyFont="1" applyFill="1" applyBorder="1" applyAlignment="1">
      <alignment vertical="top" wrapText="1"/>
    </xf>
    <xf numFmtId="0" fontId="4" fillId="4" borderId="1" xfId="0" applyFont="1" applyFill="1" applyBorder="1" applyAlignment="1">
      <alignment horizontal="center" vertical="top"/>
    </xf>
    <xf numFmtId="0" fontId="5" fillId="5" borderId="1" xfId="0" applyFont="1" applyFill="1" applyBorder="1" applyAlignment="1">
      <alignment horizontal="center" vertical="top"/>
    </xf>
    <xf numFmtId="0" fontId="5" fillId="6" borderId="1" xfId="0" applyFont="1" applyFill="1" applyBorder="1" applyAlignment="1">
      <alignment horizontal="center" vertical="top"/>
    </xf>
    <xf numFmtId="0" fontId="5" fillId="0" borderId="1" xfId="0" applyFont="1" applyBorder="1" applyAlignment="1">
      <alignment vertical="top" wrapText="1"/>
    </xf>
    <xf numFmtId="0" fontId="5" fillId="3" borderId="1" xfId="0" applyFont="1" applyFill="1" applyBorder="1" applyAlignment="1">
      <alignment vertical="top" wrapText="1"/>
    </xf>
    <xf numFmtId="0" fontId="4" fillId="5" borderId="1" xfId="0" applyFont="1" applyFill="1" applyBorder="1" applyAlignment="1">
      <alignment horizontal="center" vertical="top"/>
    </xf>
    <xf numFmtId="0" fontId="4" fillId="7" borderId="1" xfId="0" applyFont="1" applyFill="1" applyBorder="1" applyAlignment="1">
      <alignment vertical="top"/>
    </xf>
    <xf numFmtId="0" fontId="4" fillId="6" borderId="1" xfId="0" applyFont="1" applyFill="1" applyBorder="1" applyAlignment="1">
      <alignment horizontal="center" vertical="top"/>
    </xf>
    <xf numFmtId="0" fontId="8" fillId="0" borderId="1" xfId="0" applyFont="1" applyBorder="1"/>
    <xf numFmtId="0" fontId="9" fillId="0" borderId="1" xfId="0" applyFont="1" applyBorder="1"/>
    <xf numFmtId="0" fontId="8" fillId="7" borderId="1" xfId="0" applyFont="1" applyFill="1" applyBorder="1"/>
    <xf numFmtId="0" fontId="4" fillId="0" borderId="0" xfId="0" applyFont="1"/>
    <xf numFmtId="0" fontId="6" fillId="2" borderId="0" xfId="0" applyFont="1" applyFill="1" applyAlignment="1">
      <alignment vertical="top" wrapText="1"/>
    </xf>
    <xf numFmtId="0" fontId="11" fillId="4" borderId="0" xfId="0" applyFont="1" applyFill="1" applyAlignment="1">
      <alignment vertical="top" wrapText="1"/>
    </xf>
    <xf numFmtId="0" fontId="12" fillId="5" borderId="0" xfId="0" applyFont="1" applyFill="1" applyAlignment="1">
      <alignment vertical="top" wrapText="1"/>
    </xf>
    <xf numFmtId="0" fontId="13" fillId="8" borderId="0" xfId="0" applyFont="1" applyFill="1" applyAlignment="1">
      <alignment vertical="top" wrapText="1"/>
    </xf>
    <xf numFmtId="0" fontId="14" fillId="9" borderId="0" xfId="0" applyFont="1" applyFill="1" applyAlignment="1">
      <alignment vertical="top" wrapText="1"/>
    </xf>
    <xf numFmtId="0" fontId="11" fillId="4" borderId="1" xfId="0" applyFont="1" applyFill="1" applyBorder="1" applyAlignment="1">
      <alignment horizontal="center" vertical="top"/>
    </xf>
    <xf numFmtId="0" fontId="12" fillId="5" borderId="1" xfId="0" applyFont="1" applyFill="1" applyBorder="1" applyAlignment="1">
      <alignment horizontal="center" vertical="top"/>
    </xf>
    <xf numFmtId="0" fontId="13" fillId="8" borderId="1" xfId="0" applyFont="1" applyFill="1" applyBorder="1" applyAlignment="1">
      <alignment horizontal="center" vertical="top"/>
    </xf>
    <xf numFmtId="0" fontId="11" fillId="4" borderId="1" xfId="0" applyFont="1" applyFill="1" applyBorder="1" applyAlignment="1">
      <alignment vertical="top" wrapText="1"/>
    </xf>
    <xf numFmtId="0" fontId="10" fillId="0" borderId="0" xfId="0" applyFont="1" applyAlignment="1">
      <alignment vertical="top" wrapText="1"/>
    </xf>
    <xf numFmtId="0" fontId="0" fillId="0" borderId="0" xfId="0"/>
    <xf numFmtId="0" fontId="15" fillId="10" borderId="0" xfId="0" applyFont="1" applyFill="1" applyAlignment="1">
      <alignment vertical="top" wrapText="1"/>
    </xf>
    <xf numFmtId="0" fontId="2" fillId="0" borderId="0" xfId="0" applyFont="1" applyAlignment="1">
      <alignment vertical="top" wrapText="1"/>
    </xf>
    <xf numFmtId="0" fontId="16" fillId="0" borderId="0" xfId="0" applyFont="1" applyAlignment="1">
      <alignment vertical="top" wrapText="1"/>
    </xf>
    <xf numFmtId="0" fontId="16" fillId="8" borderId="0" xfId="0" applyFont="1" applyFill="1" applyAlignment="1">
      <alignment vertical="top" wrapText="1"/>
    </xf>
    <xf numFmtId="0" fontId="1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showGridLines="0" workbookViewId="0">
      <selection activeCell="B12" sqref="B12"/>
    </sheetView>
  </sheetViews>
  <sheetFormatPr defaultRowHeight="14.4" x14ac:dyDescent="0.3"/>
  <cols>
    <col min="1" max="1" width="18" customWidth="1"/>
    <col min="2" max="2" width="105" customWidth="1"/>
  </cols>
  <sheetData>
    <row r="1" spans="1:2" ht="17.399999999999999" x14ac:dyDescent="0.3">
      <c r="A1" s="1" t="s">
        <v>0</v>
      </c>
    </row>
    <row r="2" spans="1:2" x14ac:dyDescent="0.3">
      <c r="A2" s="2" t="s">
        <v>1</v>
      </c>
    </row>
    <row r="5" spans="1:2" x14ac:dyDescent="0.3">
      <c r="A5" s="3" t="s">
        <v>2</v>
      </c>
    </row>
    <row r="6" spans="1:2" ht="39.6" x14ac:dyDescent="0.3">
      <c r="B6" s="4" t="s">
        <v>3</v>
      </c>
    </row>
    <row r="8" spans="1:2" x14ac:dyDescent="0.3">
      <c r="A8" s="3" t="s">
        <v>4</v>
      </c>
    </row>
    <row r="9" spans="1:2" x14ac:dyDescent="0.3">
      <c r="B9" s="4" t="s">
        <v>5</v>
      </c>
    </row>
    <row r="10" spans="1:2" x14ac:dyDescent="0.3">
      <c r="B10" s="4" t="s">
        <v>6</v>
      </c>
    </row>
    <row r="11" spans="1:2" ht="26.4" x14ac:dyDescent="0.3">
      <c r="B11" s="4" t="s">
        <v>7</v>
      </c>
    </row>
    <row r="12" spans="1:2" ht="26.4" x14ac:dyDescent="0.3">
      <c r="B12" s="4" t="s">
        <v>8</v>
      </c>
    </row>
    <row r="13" spans="1:2" ht="26.4" x14ac:dyDescent="0.3">
      <c r="B13" s="4" t="s">
        <v>9</v>
      </c>
    </row>
    <row r="14" spans="1:2" x14ac:dyDescent="0.3">
      <c r="B14" s="30" t="s">
        <v>10</v>
      </c>
    </row>
    <row r="15" spans="1:2" x14ac:dyDescent="0.3">
      <c r="B15" s="30" t="s">
        <v>11</v>
      </c>
    </row>
    <row r="17" spans="1:2" x14ac:dyDescent="0.3">
      <c r="A17" s="3" t="s">
        <v>12</v>
      </c>
    </row>
    <row r="18" spans="1:2" ht="39.6" x14ac:dyDescent="0.3">
      <c r="B18" s="4" t="s">
        <v>13</v>
      </c>
    </row>
    <row r="19" spans="1:2" ht="39.6" x14ac:dyDescent="0.3">
      <c r="B19" s="4" t="s">
        <v>14</v>
      </c>
    </row>
    <row r="20" spans="1:2" x14ac:dyDescent="0.3">
      <c r="B20" s="4" t="s">
        <v>15</v>
      </c>
    </row>
    <row r="21" spans="1:2" ht="26.4" x14ac:dyDescent="0.3">
      <c r="B21" s="4" t="s">
        <v>16</v>
      </c>
    </row>
    <row r="23" spans="1:2" x14ac:dyDescent="0.3">
      <c r="A23" s="3" t="s">
        <v>17</v>
      </c>
    </row>
    <row r="24" spans="1:2" ht="26.4" x14ac:dyDescent="0.3">
      <c r="A24" s="5" t="s">
        <v>18</v>
      </c>
      <c r="B24" s="4" t="s">
        <v>19</v>
      </c>
    </row>
    <row r="25" spans="1:2" x14ac:dyDescent="0.3">
      <c r="A25" s="5" t="s">
        <v>20</v>
      </c>
      <c r="B25" s="4" t="s">
        <v>21</v>
      </c>
    </row>
    <row r="26" spans="1:2" x14ac:dyDescent="0.3">
      <c r="A26" s="5" t="s">
        <v>22</v>
      </c>
      <c r="B26" s="4" t="s">
        <v>23</v>
      </c>
    </row>
    <row r="27" spans="1:2" x14ac:dyDescent="0.3">
      <c r="A27" s="5" t="s">
        <v>24</v>
      </c>
      <c r="B27" s="30" t="s">
        <v>25</v>
      </c>
    </row>
    <row r="28" spans="1:2" x14ac:dyDescent="0.3">
      <c r="A28" s="5" t="s">
        <v>26</v>
      </c>
      <c r="B28" s="30" t="s">
        <v>27</v>
      </c>
    </row>
    <row r="29" spans="1:2" x14ac:dyDescent="0.3">
      <c r="A29" s="5" t="s">
        <v>28</v>
      </c>
      <c r="B29" s="30" t="s">
        <v>29</v>
      </c>
    </row>
    <row r="31" spans="1:2" x14ac:dyDescent="0.3">
      <c r="A31" s="3" t="s">
        <v>30</v>
      </c>
    </row>
    <row r="32" spans="1:2" x14ac:dyDescent="0.3">
      <c r="A32" s="5" t="s">
        <v>31</v>
      </c>
      <c r="B32" s="4" t="s">
        <v>32</v>
      </c>
    </row>
    <row r="33" spans="1:2" x14ac:dyDescent="0.3">
      <c r="A33" s="5" t="s">
        <v>33</v>
      </c>
      <c r="B33" s="4" t="s">
        <v>34</v>
      </c>
    </row>
    <row r="34" spans="1:2" x14ac:dyDescent="0.3">
      <c r="A34" s="5" t="s">
        <v>35</v>
      </c>
      <c r="B34" s="4"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showGridLines="0" workbookViewId="0">
      <pane ySplit="1" topLeftCell="A2" activePane="bottomLeft" state="frozen"/>
      <selection pane="bottomLeft"/>
    </sheetView>
  </sheetViews>
  <sheetFormatPr defaultRowHeight="14.4" x14ac:dyDescent="0.3"/>
  <cols>
    <col min="1" max="1" width="27" customWidth="1"/>
    <col min="2" max="2" width="12" customWidth="1"/>
    <col min="3" max="3" width="32" customWidth="1"/>
    <col min="4" max="4" width="40" customWidth="1"/>
    <col min="5" max="5" width="34" customWidth="1"/>
    <col min="6" max="6" width="10" customWidth="1"/>
    <col min="7" max="8" width="11" customWidth="1"/>
    <col min="9" max="9" width="12" customWidth="1"/>
    <col min="10" max="10" width="62" customWidth="1"/>
  </cols>
  <sheetData>
    <row r="1" spans="1:10" ht="30" customHeight="1" x14ac:dyDescent="0.3">
      <c r="A1" s="6" t="s">
        <v>37</v>
      </c>
      <c r="B1" s="6" t="s">
        <v>38</v>
      </c>
      <c r="C1" s="6" t="s">
        <v>39</v>
      </c>
      <c r="D1" s="6" t="s">
        <v>40</v>
      </c>
      <c r="E1" s="6" t="s">
        <v>41</v>
      </c>
      <c r="F1" s="6" t="s">
        <v>42</v>
      </c>
      <c r="G1" s="6" t="s">
        <v>43</v>
      </c>
      <c r="H1" s="6" t="s">
        <v>44</v>
      </c>
      <c r="I1" s="6" t="s">
        <v>45</v>
      </c>
      <c r="J1" s="6" t="s">
        <v>46</v>
      </c>
    </row>
    <row r="2" spans="1:10" ht="42" customHeight="1" x14ac:dyDescent="0.3">
      <c r="A2" s="7" t="s">
        <v>47</v>
      </c>
      <c r="B2" s="8" t="s">
        <v>48</v>
      </c>
      <c r="C2" s="9" t="s">
        <v>49</v>
      </c>
      <c r="D2" s="10" t="s">
        <v>50</v>
      </c>
      <c r="E2" s="8" t="s">
        <v>51</v>
      </c>
      <c r="F2" s="11">
        <f>SUMIF('Report Fields'!$A$2:$A$2000,$A2,'Report Fields'!$I$2:$I$2000)</f>
        <v>17</v>
      </c>
      <c r="G2" s="11">
        <f>COUNTIF('Report Fields'!$A$2:$A$2000,$A2)</f>
        <v>81</v>
      </c>
      <c r="H2" s="11">
        <f>COUNTIF('Drill-downs'!$A$2:$A$500,$A2)</f>
        <v>39</v>
      </c>
      <c r="I2" s="11">
        <f>COUNTIFS('Report Fields'!$A$2:$A$2000,$A2,'Report Fields'!$G$2:$G$2000,"VERIFY")</f>
        <v>1</v>
      </c>
      <c r="J2" s="12" t="s">
        <v>52</v>
      </c>
    </row>
    <row r="3" spans="1:10" ht="42" customHeight="1" x14ac:dyDescent="0.3">
      <c r="A3" s="13" t="s">
        <v>53</v>
      </c>
      <c r="B3" s="14" t="s">
        <v>48</v>
      </c>
      <c r="C3" s="15" t="s">
        <v>54</v>
      </c>
      <c r="D3" s="16" t="s">
        <v>55</v>
      </c>
      <c r="E3" s="14" t="s">
        <v>56</v>
      </c>
      <c r="F3" s="17">
        <f>SUMIF('Report Fields'!$A$2:$A$2000,$A3,'Report Fields'!$I$2:$I$2000)</f>
        <v>17</v>
      </c>
      <c r="G3" s="17">
        <f>COUNTIF('Report Fields'!$A$2:$A$2000,$A3)</f>
        <v>50</v>
      </c>
      <c r="H3" s="17">
        <f>COUNTIF('Drill-downs'!$A$2:$A$500,$A3)</f>
        <v>20</v>
      </c>
      <c r="I3" s="17">
        <f>COUNTIFS('Report Fields'!$A$2:$A$2000,$A3,'Report Fields'!$G$2:$G$2000,"VERIFY")</f>
        <v>3</v>
      </c>
      <c r="J3" s="18" t="s">
        <v>57</v>
      </c>
    </row>
    <row r="4" spans="1:10" ht="42" customHeight="1" x14ac:dyDescent="0.3">
      <c r="A4" s="7" t="s">
        <v>58</v>
      </c>
      <c r="B4" s="8" t="s">
        <v>59</v>
      </c>
      <c r="C4" s="9" t="s">
        <v>60</v>
      </c>
      <c r="D4" s="10" t="s">
        <v>55</v>
      </c>
      <c r="E4" s="8" t="s">
        <v>56</v>
      </c>
      <c r="F4" s="11">
        <f>SUMIF('Report Fields'!$A$2:$A$2000,$A4,'Report Fields'!$I$2:$I$2000)</f>
        <v>12</v>
      </c>
      <c r="G4" s="11">
        <f>COUNTIF('Report Fields'!$A$2:$A$2000,$A4)</f>
        <v>39</v>
      </c>
      <c r="H4" s="11">
        <f>COUNTIF('Drill-downs'!$A$2:$A$500,$A4)</f>
        <v>7</v>
      </c>
      <c r="I4" s="11">
        <f>COUNTIFS('Report Fields'!$A$2:$A$2000,$A4,'Report Fields'!$G$2:$G$2000,"VERIFY")</f>
        <v>8</v>
      </c>
      <c r="J4" s="12" t="s">
        <v>61</v>
      </c>
    </row>
    <row r="5" spans="1:10" ht="42" customHeight="1" x14ac:dyDescent="0.3">
      <c r="A5" s="13" t="s">
        <v>62</v>
      </c>
      <c r="B5" s="14" t="s">
        <v>59</v>
      </c>
      <c r="C5" s="15" t="s">
        <v>63</v>
      </c>
      <c r="D5" s="16" t="s">
        <v>64</v>
      </c>
      <c r="E5" s="14" t="s">
        <v>65</v>
      </c>
      <c r="F5" s="17">
        <f>SUMIF('Report Fields'!$A$2:$A$2000,$A5,'Report Fields'!$I$2:$I$2000)</f>
        <v>21</v>
      </c>
      <c r="G5" s="17">
        <f>COUNTIF('Report Fields'!$A$2:$A$2000,$A5)</f>
        <v>74</v>
      </c>
      <c r="H5" s="17">
        <f>COUNTIF('Drill-downs'!$A$2:$A$500,$A5)</f>
        <v>14</v>
      </c>
      <c r="I5" s="17">
        <f>COUNTIFS('Report Fields'!$A$2:$A$2000,$A5,'Report Fields'!$G$2:$G$2000,"VERIFY")</f>
        <v>0</v>
      </c>
      <c r="J5" s="18" t="s">
        <v>66</v>
      </c>
    </row>
    <row r="6" spans="1:10" ht="42" customHeight="1" x14ac:dyDescent="0.3">
      <c r="A6" s="7" t="s">
        <v>67</v>
      </c>
      <c r="B6" s="8" t="s">
        <v>59</v>
      </c>
      <c r="C6" s="9" t="s">
        <v>68</v>
      </c>
      <c r="D6" s="10" t="s">
        <v>69</v>
      </c>
      <c r="E6" s="8" t="s">
        <v>65</v>
      </c>
      <c r="F6" s="11">
        <f>SUMIF('Report Fields'!$A$2:$A$2000,$A6,'Report Fields'!$I$2:$I$2000)</f>
        <v>8</v>
      </c>
      <c r="G6" s="11">
        <f>COUNTIF('Report Fields'!$A$2:$A$2000,$A6)</f>
        <v>40</v>
      </c>
      <c r="H6" s="11">
        <f>COUNTIF('Drill-downs'!$A$2:$A$500,$A6)</f>
        <v>15</v>
      </c>
      <c r="I6" s="11">
        <f>COUNTIFS('Report Fields'!$A$2:$A$2000,$A6,'Report Fields'!$G$2:$G$2000,"VERIFY")</f>
        <v>13</v>
      </c>
      <c r="J6" s="12" t="s">
        <v>70</v>
      </c>
    </row>
    <row r="7" spans="1:10" ht="42" customHeight="1" x14ac:dyDescent="0.3">
      <c r="A7" s="13" t="s">
        <v>71</v>
      </c>
      <c r="B7" s="14" t="s">
        <v>72</v>
      </c>
      <c r="C7" s="15" t="s">
        <v>73</v>
      </c>
      <c r="D7" s="16" t="s">
        <v>74</v>
      </c>
      <c r="E7" s="14" t="s">
        <v>65</v>
      </c>
      <c r="F7" s="17">
        <f>SUMIF('Report Fields'!$A$2:$A$2000,$A7,'Report Fields'!$I$2:$I$2000)</f>
        <v>4</v>
      </c>
      <c r="G7" s="17">
        <f>COUNTIF('Report Fields'!$A$2:$A$2000,$A7)</f>
        <v>30</v>
      </c>
      <c r="H7" s="17">
        <f>COUNTIF('Drill-downs'!$A$2:$A$500,$A7)</f>
        <v>11</v>
      </c>
      <c r="I7" s="17">
        <f>COUNTIFS('Report Fields'!$A$2:$A$2000,$A7,'Report Fields'!$G$2:$G$2000,"VERIFY")</f>
        <v>4</v>
      </c>
      <c r="J7" s="18" t="s">
        <v>75</v>
      </c>
    </row>
    <row r="8" spans="1:10" ht="42" customHeight="1" x14ac:dyDescent="0.3">
      <c r="A8" s="7" t="s">
        <v>76</v>
      </c>
      <c r="B8" s="8" t="s">
        <v>72</v>
      </c>
      <c r="C8" s="9" t="s">
        <v>77</v>
      </c>
      <c r="D8" s="10" t="s">
        <v>78</v>
      </c>
      <c r="E8" s="8" t="s">
        <v>65</v>
      </c>
      <c r="F8" s="11">
        <f>SUMIF('Report Fields'!$A$2:$A$2000,$A8,'Report Fields'!$I$2:$I$2000)</f>
        <v>4</v>
      </c>
      <c r="G8" s="11">
        <f>COUNTIF('Report Fields'!$A$2:$A$2000,$A8)</f>
        <v>21</v>
      </c>
      <c r="H8" s="11">
        <f>COUNTIF('Drill-downs'!$A$2:$A$500,$A8)</f>
        <v>9</v>
      </c>
      <c r="I8" s="11">
        <f>COUNTIFS('Report Fields'!$A$2:$A$2000,$A8,'Report Fields'!$G$2:$G$2000,"VERIFY")</f>
        <v>0</v>
      </c>
      <c r="J8" s="12" t="s">
        <v>79</v>
      </c>
    </row>
    <row r="9" spans="1:10" ht="42" customHeight="1" x14ac:dyDescent="0.3">
      <c r="A9" s="13" t="s">
        <v>80</v>
      </c>
      <c r="B9" s="14" t="s">
        <v>72</v>
      </c>
      <c r="C9" s="15" t="s">
        <v>81</v>
      </c>
      <c r="D9" s="16" t="s">
        <v>82</v>
      </c>
      <c r="E9" s="14" t="s">
        <v>65</v>
      </c>
      <c r="F9" s="17">
        <f>SUMIF('Report Fields'!$A$2:$A$2000,$A9,'Report Fields'!$I$2:$I$2000)</f>
        <v>7</v>
      </c>
      <c r="G9" s="17">
        <f>COUNTIF('Report Fields'!$A$2:$A$2000,$A9)</f>
        <v>29</v>
      </c>
      <c r="H9" s="17">
        <f>COUNTIF('Drill-downs'!$A$2:$A$500,$A9)</f>
        <v>14</v>
      </c>
      <c r="I9" s="17">
        <f>COUNTIFS('Report Fields'!$A$2:$A$2000,$A9,'Report Fields'!$G$2:$G$2000,"VERIFY")</f>
        <v>14</v>
      </c>
      <c r="J9" s="18" t="s">
        <v>79</v>
      </c>
    </row>
    <row r="10" spans="1:10" ht="42" customHeight="1" x14ac:dyDescent="0.3">
      <c r="A10" s="7" t="s">
        <v>83</v>
      </c>
      <c r="B10" s="8" t="s">
        <v>72</v>
      </c>
      <c r="C10" s="9" t="s">
        <v>84</v>
      </c>
      <c r="D10" s="10" t="s">
        <v>85</v>
      </c>
      <c r="E10" s="8" t="s">
        <v>65</v>
      </c>
      <c r="F10" s="11">
        <f>SUMIF('Report Fields'!$A$2:$A$2000,$A10,'Report Fields'!$I$2:$I$2000)</f>
        <v>10</v>
      </c>
      <c r="G10" s="11">
        <f>COUNTIF('Report Fields'!$A$2:$A$2000,$A10)</f>
        <v>29</v>
      </c>
      <c r="H10" s="11">
        <f>COUNTIF('Drill-downs'!$A$2:$A$500,$A10)</f>
        <v>8</v>
      </c>
      <c r="I10" s="11">
        <f>COUNTIFS('Report Fields'!$A$2:$A$2000,$A10,'Report Fields'!$G$2:$G$2000,"VERIFY")</f>
        <v>6</v>
      </c>
      <c r="J10" s="12" t="s">
        <v>79</v>
      </c>
    </row>
    <row r="11" spans="1:10" ht="42" customHeight="1" x14ac:dyDescent="0.3">
      <c r="A11" s="13" t="s">
        <v>86</v>
      </c>
      <c r="B11" s="14" t="s">
        <v>87</v>
      </c>
      <c r="C11" s="15" t="s">
        <v>88</v>
      </c>
      <c r="D11" s="16" t="s">
        <v>89</v>
      </c>
      <c r="E11" s="14" t="s">
        <v>65</v>
      </c>
      <c r="F11" s="17">
        <f>SUMIF('Report Fields'!$A$2:$A$2000,$A11,'Report Fields'!$I$2:$I$2000)</f>
        <v>6</v>
      </c>
      <c r="G11" s="17">
        <f>COUNTIF('Report Fields'!$A$2:$A$2000,$A11)</f>
        <v>20</v>
      </c>
      <c r="H11" s="17">
        <f>COUNTIF('Drill-downs'!$A$2:$A$500,$A11)</f>
        <v>10</v>
      </c>
      <c r="I11" s="17">
        <f>COUNTIFS('Report Fields'!$A$2:$A$2000,$A11,'Report Fields'!$G$2:$G$2000,"VERIFY")</f>
        <v>1</v>
      </c>
      <c r="J11" s="18" t="s">
        <v>90</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tabSelected="1" workbookViewId="0">
      <pane ySplit="4" topLeftCell="A5" activePane="bottomLeft" state="frozen"/>
      <selection pane="bottomLeft" activeCell="B10" sqref="B10"/>
    </sheetView>
  </sheetViews>
  <sheetFormatPr defaultRowHeight="14.4" x14ac:dyDescent="0.3"/>
  <cols>
    <col min="1" max="1" width="22" customWidth="1"/>
    <col min="2" max="2" width="34" customWidth="1"/>
    <col min="3" max="3" width="42" customWidth="1"/>
    <col min="4" max="4" width="46" customWidth="1"/>
    <col min="5" max="5" width="50" customWidth="1"/>
    <col min="6" max="6" width="16" customWidth="1"/>
  </cols>
  <sheetData>
    <row r="1" spans="1:6" ht="17.399999999999999" x14ac:dyDescent="0.3">
      <c r="A1" s="1" t="s">
        <v>91</v>
      </c>
    </row>
    <row r="2" spans="1:6" ht="45" customHeight="1" x14ac:dyDescent="0.3">
      <c r="A2" s="40" t="s">
        <v>92</v>
      </c>
      <c r="B2" s="41"/>
      <c r="C2" s="41"/>
      <c r="D2" s="41"/>
      <c r="E2" s="41"/>
      <c r="F2" s="41"/>
    </row>
    <row r="4" spans="1:6" x14ac:dyDescent="0.3">
      <c r="A4" s="31" t="s">
        <v>37</v>
      </c>
      <c r="B4" s="31" t="s">
        <v>93</v>
      </c>
      <c r="C4" s="31" t="s">
        <v>94</v>
      </c>
      <c r="D4" s="31" t="s">
        <v>95</v>
      </c>
      <c r="E4" s="31" t="s">
        <v>96</v>
      </c>
      <c r="F4" s="31" t="s">
        <v>97</v>
      </c>
    </row>
    <row r="5" spans="1:6" ht="52.8" x14ac:dyDescent="0.3">
      <c r="A5" s="4" t="s">
        <v>80</v>
      </c>
      <c r="B5" s="4" t="s">
        <v>98</v>
      </c>
      <c r="C5" s="4" t="s">
        <v>99</v>
      </c>
      <c r="D5" s="4" t="s">
        <v>100</v>
      </c>
      <c r="E5" s="4" t="s">
        <v>101</v>
      </c>
      <c r="F5" s="32" t="s">
        <v>102</v>
      </c>
    </row>
    <row r="6" spans="1:6" ht="26.4" x14ac:dyDescent="0.3">
      <c r="A6" s="4" t="s">
        <v>80</v>
      </c>
      <c r="B6" s="4" t="s">
        <v>103</v>
      </c>
      <c r="C6" s="4" t="s">
        <v>104</v>
      </c>
      <c r="D6" s="4" t="s">
        <v>105</v>
      </c>
      <c r="E6" s="4" t="s">
        <v>106</v>
      </c>
      <c r="F6" s="33" t="s">
        <v>107</v>
      </c>
    </row>
    <row r="7" spans="1:6" ht="39.6" x14ac:dyDescent="0.3">
      <c r="A7" s="4" t="s">
        <v>83</v>
      </c>
      <c r="B7" s="4" t="s">
        <v>98</v>
      </c>
      <c r="C7" s="4" t="s">
        <v>99</v>
      </c>
      <c r="D7" s="4" t="s">
        <v>108</v>
      </c>
      <c r="E7" s="4" t="s">
        <v>109</v>
      </c>
      <c r="F7" s="32" t="s">
        <v>102</v>
      </c>
    </row>
    <row r="8" spans="1:6" s="46" customFormat="1" ht="39.6" x14ac:dyDescent="0.3">
      <c r="A8" s="44" t="s">
        <v>83</v>
      </c>
      <c r="B8" s="44" t="s">
        <v>110</v>
      </c>
      <c r="C8" s="44" t="s">
        <v>111</v>
      </c>
      <c r="D8" s="44" t="s">
        <v>112</v>
      </c>
      <c r="E8" s="44" t="s">
        <v>113</v>
      </c>
      <c r="F8" s="45" t="s">
        <v>24</v>
      </c>
    </row>
    <row r="9" spans="1:6" s="46" customFormat="1" ht="39.6" x14ac:dyDescent="0.3">
      <c r="A9" s="44" t="s">
        <v>83</v>
      </c>
      <c r="B9" s="44" t="s">
        <v>114</v>
      </c>
      <c r="C9" s="44" t="s">
        <v>115</v>
      </c>
      <c r="D9" s="44" t="s">
        <v>116</v>
      </c>
      <c r="E9" s="44" t="s">
        <v>117</v>
      </c>
      <c r="F9" s="45" t="s">
        <v>24</v>
      </c>
    </row>
    <row r="10" spans="1:6" ht="79.2" x14ac:dyDescent="0.3">
      <c r="A10" s="4" t="s">
        <v>86</v>
      </c>
      <c r="B10" s="4" t="s">
        <v>118</v>
      </c>
      <c r="C10" s="4" t="s">
        <v>99</v>
      </c>
      <c r="D10" s="4" t="s">
        <v>119</v>
      </c>
      <c r="E10" s="4" t="s">
        <v>120</v>
      </c>
      <c r="F10" s="34" t="s">
        <v>24</v>
      </c>
    </row>
    <row r="11" spans="1:6" ht="66" x14ac:dyDescent="0.3">
      <c r="A11" s="4" t="s">
        <v>86</v>
      </c>
      <c r="B11" s="4" t="s">
        <v>121</v>
      </c>
      <c r="C11" s="4" t="s">
        <v>122</v>
      </c>
      <c r="D11" s="4" t="s">
        <v>123</v>
      </c>
      <c r="E11" s="4" t="s">
        <v>124</v>
      </c>
      <c r="F11" s="35" t="s">
        <v>125</v>
      </c>
    </row>
    <row r="12" spans="1:6" ht="66" x14ac:dyDescent="0.3">
      <c r="A12" s="4" t="s">
        <v>86</v>
      </c>
      <c r="B12" s="4" t="s">
        <v>126</v>
      </c>
      <c r="C12" s="4" t="s">
        <v>127</v>
      </c>
      <c r="D12" s="4" t="s">
        <v>128</v>
      </c>
      <c r="E12" s="4" t="s">
        <v>129</v>
      </c>
      <c r="F12" s="33" t="s">
        <v>130</v>
      </c>
    </row>
    <row r="13" spans="1:6" ht="66" x14ac:dyDescent="0.3">
      <c r="A13" s="4" t="s">
        <v>86</v>
      </c>
      <c r="B13" s="4" t="s">
        <v>131</v>
      </c>
      <c r="C13" s="4" t="s">
        <v>132</v>
      </c>
      <c r="D13" s="4" t="s">
        <v>133</v>
      </c>
      <c r="E13" s="4" t="s">
        <v>129</v>
      </c>
      <c r="F13" s="33" t="s">
        <v>130</v>
      </c>
    </row>
    <row r="14" spans="1:6" ht="105.6" x14ac:dyDescent="0.3">
      <c r="A14" s="4" t="s">
        <v>58</v>
      </c>
      <c r="B14" s="4" t="s">
        <v>134</v>
      </c>
      <c r="C14" s="4" t="s">
        <v>135</v>
      </c>
      <c r="D14" s="4" t="s">
        <v>136</v>
      </c>
      <c r="E14" s="4" t="s">
        <v>137</v>
      </c>
      <c r="F14" s="33" t="s">
        <v>107</v>
      </c>
    </row>
  </sheetData>
  <mergeCells count="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4" topLeftCell="A5" activePane="bottomLeft" state="frozen"/>
      <selection pane="bottomLeft"/>
    </sheetView>
  </sheetViews>
  <sheetFormatPr defaultRowHeight="14.4" x14ac:dyDescent="0.3"/>
  <cols>
    <col min="1" max="1" width="24" customWidth="1"/>
    <col min="2" max="2" width="26" customWidth="1"/>
    <col min="3" max="4" width="46" customWidth="1"/>
    <col min="5" max="5" width="26" customWidth="1"/>
    <col min="6" max="6" width="18" customWidth="1"/>
  </cols>
  <sheetData>
    <row r="1" spans="1:6" ht="17.399999999999999" x14ac:dyDescent="0.3">
      <c r="A1" s="1" t="s">
        <v>138</v>
      </c>
    </row>
    <row r="2" spans="1:6" ht="60" customHeight="1" x14ac:dyDescent="0.3">
      <c r="A2" s="40" t="s">
        <v>139</v>
      </c>
      <c r="B2" s="41"/>
      <c r="C2" s="41"/>
      <c r="D2" s="41"/>
      <c r="E2" s="41"/>
      <c r="F2" s="41"/>
    </row>
    <row r="4" spans="1:6" x14ac:dyDescent="0.3">
      <c r="A4" s="31" t="s">
        <v>37</v>
      </c>
      <c r="B4" s="31" t="s">
        <v>140</v>
      </c>
      <c r="C4" s="31" t="s">
        <v>141</v>
      </c>
      <c r="D4" s="31" t="s">
        <v>142</v>
      </c>
      <c r="E4" s="31" t="s">
        <v>143</v>
      </c>
      <c r="F4" s="31" t="s">
        <v>97</v>
      </c>
    </row>
    <row r="5" spans="1:6" ht="60" customHeight="1" x14ac:dyDescent="0.3">
      <c r="A5" s="4" t="s">
        <v>144</v>
      </c>
      <c r="B5" s="4" t="s">
        <v>145</v>
      </c>
      <c r="C5" s="4" t="s">
        <v>146</v>
      </c>
      <c r="D5" s="4" t="s">
        <v>147</v>
      </c>
      <c r="E5" s="4" t="s">
        <v>148</v>
      </c>
      <c r="F5" s="32" t="s">
        <v>102</v>
      </c>
    </row>
    <row r="6" spans="1:6" ht="75" customHeight="1" x14ac:dyDescent="0.3">
      <c r="A6" s="4" t="s">
        <v>149</v>
      </c>
      <c r="B6" s="4" t="s">
        <v>150</v>
      </c>
      <c r="C6" s="4" t="s">
        <v>151</v>
      </c>
      <c r="D6" s="4" t="s">
        <v>152</v>
      </c>
      <c r="E6" s="4" t="s">
        <v>148</v>
      </c>
      <c r="F6" s="32" t="s">
        <v>102</v>
      </c>
    </row>
    <row r="7" spans="1:6" ht="60" customHeight="1" x14ac:dyDescent="0.3">
      <c r="A7" s="4" t="s">
        <v>153</v>
      </c>
      <c r="B7" s="4" t="s">
        <v>154</v>
      </c>
      <c r="C7" s="4" t="s">
        <v>155</v>
      </c>
      <c r="D7" s="4" t="s">
        <v>156</v>
      </c>
      <c r="E7" s="4" t="s">
        <v>157</v>
      </c>
      <c r="F7" s="32" t="s">
        <v>158</v>
      </c>
    </row>
    <row r="8" spans="1:6" ht="60" customHeight="1" x14ac:dyDescent="0.3">
      <c r="A8" s="4" t="s">
        <v>153</v>
      </c>
      <c r="B8" s="4" t="s">
        <v>159</v>
      </c>
      <c r="C8" s="4" t="s">
        <v>160</v>
      </c>
      <c r="D8" s="4" t="s">
        <v>161</v>
      </c>
      <c r="E8" s="4" t="s">
        <v>157</v>
      </c>
      <c r="F8" s="32" t="s">
        <v>158</v>
      </c>
    </row>
    <row r="9" spans="1:6" ht="60" customHeight="1" x14ac:dyDescent="0.3">
      <c r="A9" s="4" t="s">
        <v>153</v>
      </c>
      <c r="B9" s="4" t="s">
        <v>162</v>
      </c>
      <c r="C9" s="4" t="s">
        <v>163</v>
      </c>
      <c r="D9" s="4" t="s">
        <v>164</v>
      </c>
      <c r="E9" s="4" t="s">
        <v>157</v>
      </c>
      <c r="F9" s="32" t="s">
        <v>158</v>
      </c>
    </row>
  </sheetData>
  <mergeCells count="1">
    <mergeCell ref="A2:F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14"/>
  <sheetViews>
    <sheetView showGridLines="0" topLeftCell="D1" workbookViewId="0">
      <pane ySplit="1" topLeftCell="A56" activePane="bottomLeft" state="frozen"/>
      <selection pane="bottomLeft"/>
    </sheetView>
  </sheetViews>
  <sheetFormatPr defaultRowHeight="14.4" x14ac:dyDescent="0.3"/>
  <cols>
    <col min="1" max="1" width="27" customWidth="1"/>
    <col min="2" max="2" width="42" customWidth="1"/>
    <col min="3" max="3" width="46" customWidth="1"/>
    <col min="4" max="4" width="26" customWidth="1"/>
    <col min="5" max="5" width="52" customWidth="1"/>
    <col min="6" max="6" width="13" customWidth="1"/>
    <col min="7" max="7" width="11" customWidth="1"/>
    <col min="8" max="8" width="62" customWidth="1"/>
    <col min="9" max="9" width="4" hidden="1" customWidth="1"/>
  </cols>
  <sheetData>
    <row r="1" spans="1:9" ht="30" customHeight="1" x14ac:dyDescent="0.3">
      <c r="A1" s="6" t="s">
        <v>37</v>
      </c>
      <c r="B1" s="6" t="s">
        <v>93</v>
      </c>
      <c r="C1" s="6" t="s">
        <v>165</v>
      </c>
      <c r="D1" s="6" t="s">
        <v>166</v>
      </c>
      <c r="E1" s="6" t="s">
        <v>167</v>
      </c>
      <c r="F1" s="6" t="s">
        <v>168</v>
      </c>
      <c r="G1" s="6" t="s">
        <v>97</v>
      </c>
      <c r="H1" s="6" t="s">
        <v>46</v>
      </c>
      <c r="I1" s="6" t="s">
        <v>169</v>
      </c>
    </row>
    <row r="2" spans="1:9" x14ac:dyDescent="0.3">
      <c r="A2" s="8" t="s">
        <v>47</v>
      </c>
      <c r="B2" s="9" t="s">
        <v>170</v>
      </c>
      <c r="C2" s="9" t="s">
        <v>171</v>
      </c>
      <c r="D2" s="9"/>
      <c r="E2" s="12" t="s">
        <v>172</v>
      </c>
      <c r="F2" s="8" t="s">
        <v>35</v>
      </c>
      <c r="G2" s="19" t="s">
        <v>18</v>
      </c>
      <c r="H2" s="12"/>
      <c r="I2" s="8">
        <v>1</v>
      </c>
    </row>
    <row r="3" spans="1:9" x14ac:dyDescent="0.3">
      <c r="A3" s="8" t="s">
        <v>47</v>
      </c>
      <c r="B3" s="9" t="s">
        <v>170</v>
      </c>
      <c r="C3" s="9" t="s">
        <v>97</v>
      </c>
      <c r="D3" s="9"/>
      <c r="E3" s="12" t="s">
        <v>173</v>
      </c>
      <c r="F3" s="8" t="s">
        <v>35</v>
      </c>
      <c r="G3" s="19" t="s">
        <v>18</v>
      </c>
      <c r="H3" s="12"/>
      <c r="I3" s="8">
        <v>0</v>
      </c>
    </row>
    <row r="4" spans="1:9" x14ac:dyDescent="0.3">
      <c r="A4" s="8" t="s">
        <v>47</v>
      </c>
      <c r="B4" s="9" t="s">
        <v>170</v>
      </c>
      <c r="C4" s="9" t="s">
        <v>174</v>
      </c>
      <c r="D4" s="9"/>
      <c r="E4" s="12" t="s">
        <v>175</v>
      </c>
      <c r="F4" s="8" t="s">
        <v>35</v>
      </c>
      <c r="G4" s="19" t="s">
        <v>18</v>
      </c>
      <c r="H4" s="12" t="s">
        <v>176</v>
      </c>
      <c r="I4" s="8">
        <v>0</v>
      </c>
    </row>
    <row r="5" spans="1:9" x14ac:dyDescent="0.3">
      <c r="A5" s="8" t="s">
        <v>47</v>
      </c>
      <c r="B5" s="9" t="s">
        <v>170</v>
      </c>
      <c r="C5" s="9" t="s">
        <v>177</v>
      </c>
      <c r="D5" s="9"/>
      <c r="E5" s="12" t="s">
        <v>178</v>
      </c>
      <c r="F5" s="8" t="s">
        <v>35</v>
      </c>
      <c r="G5" s="19" t="s">
        <v>18</v>
      </c>
      <c r="H5" s="12" t="s">
        <v>176</v>
      </c>
      <c r="I5" s="8">
        <v>0</v>
      </c>
    </row>
    <row r="6" spans="1:9" x14ac:dyDescent="0.3">
      <c r="A6" s="8" t="s">
        <v>47</v>
      </c>
      <c r="B6" s="9" t="s">
        <v>170</v>
      </c>
      <c r="C6" s="9" t="s">
        <v>179</v>
      </c>
      <c r="D6" s="9"/>
      <c r="E6" s="12" t="s">
        <v>180</v>
      </c>
      <c r="F6" s="8" t="s">
        <v>35</v>
      </c>
      <c r="G6" s="19" t="s">
        <v>18</v>
      </c>
      <c r="H6" s="12"/>
      <c r="I6" s="8">
        <v>0</v>
      </c>
    </row>
    <row r="7" spans="1:9" x14ac:dyDescent="0.3">
      <c r="A7" s="8" t="s">
        <v>47</v>
      </c>
      <c r="B7" s="9" t="s">
        <v>170</v>
      </c>
      <c r="C7" s="9" t="s">
        <v>181</v>
      </c>
      <c r="D7" s="9"/>
      <c r="E7" s="12" t="s">
        <v>182</v>
      </c>
      <c r="F7" s="8" t="s">
        <v>35</v>
      </c>
      <c r="G7" s="19" t="s">
        <v>18</v>
      </c>
      <c r="H7" s="12"/>
      <c r="I7" s="8">
        <v>0</v>
      </c>
    </row>
    <row r="8" spans="1:9" x14ac:dyDescent="0.3">
      <c r="A8" s="8" t="s">
        <v>47</v>
      </c>
      <c r="B8" s="9" t="s">
        <v>170</v>
      </c>
      <c r="C8" s="9" t="s">
        <v>183</v>
      </c>
      <c r="D8" s="9"/>
      <c r="E8" s="12" t="s">
        <v>184</v>
      </c>
      <c r="F8" s="8" t="s">
        <v>35</v>
      </c>
      <c r="G8" s="19" t="s">
        <v>18</v>
      </c>
      <c r="H8" s="12"/>
      <c r="I8" s="8">
        <v>0</v>
      </c>
    </row>
    <row r="9" spans="1:9" x14ac:dyDescent="0.3">
      <c r="A9" s="8" t="s">
        <v>47</v>
      </c>
      <c r="B9" s="9" t="s">
        <v>185</v>
      </c>
      <c r="C9" s="9" t="s">
        <v>186</v>
      </c>
      <c r="D9" s="9"/>
      <c r="E9" s="12" t="s">
        <v>187</v>
      </c>
      <c r="F9" s="8" t="s">
        <v>35</v>
      </c>
      <c r="G9" s="19" t="s">
        <v>18</v>
      </c>
      <c r="H9" s="12"/>
      <c r="I9" s="8">
        <v>1</v>
      </c>
    </row>
    <row r="10" spans="1:9" x14ac:dyDescent="0.3">
      <c r="A10" s="8" t="s">
        <v>47</v>
      </c>
      <c r="B10" s="9" t="s">
        <v>185</v>
      </c>
      <c r="C10" s="9" t="s">
        <v>188</v>
      </c>
      <c r="D10" s="9"/>
      <c r="E10" s="12" t="s">
        <v>189</v>
      </c>
      <c r="F10" s="8" t="s">
        <v>31</v>
      </c>
      <c r="G10" s="19" t="s">
        <v>18</v>
      </c>
      <c r="H10" s="12"/>
      <c r="I10" s="8">
        <v>0</v>
      </c>
    </row>
    <row r="11" spans="1:9" x14ac:dyDescent="0.3">
      <c r="A11" s="8" t="s">
        <v>47</v>
      </c>
      <c r="B11" s="9" t="s">
        <v>185</v>
      </c>
      <c r="C11" s="9" t="s">
        <v>190</v>
      </c>
      <c r="D11" s="9"/>
      <c r="E11" s="12" t="s">
        <v>191</v>
      </c>
      <c r="F11" s="8" t="s">
        <v>35</v>
      </c>
      <c r="G11" s="19" t="s">
        <v>18</v>
      </c>
      <c r="H11" s="12" t="s">
        <v>176</v>
      </c>
      <c r="I11" s="8">
        <v>0</v>
      </c>
    </row>
    <row r="12" spans="1:9" x14ac:dyDescent="0.3">
      <c r="A12" s="8" t="s">
        <v>47</v>
      </c>
      <c r="B12" s="9" t="s">
        <v>185</v>
      </c>
      <c r="C12" s="9" t="s">
        <v>177</v>
      </c>
      <c r="D12" s="9"/>
      <c r="E12" s="12" t="s">
        <v>192</v>
      </c>
      <c r="F12" s="8" t="s">
        <v>35</v>
      </c>
      <c r="G12" s="19" t="s">
        <v>18</v>
      </c>
      <c r="H12" s="12" t="s">
        <v>176</v>
      </c>
      <c r="I12" s="8">
        <v>0</v>
      </c>
    </row>
    <row r="13" spans="1:9" x14ac:dyDescent="0.3">
      <c r="A13" s="8" t="s">
        <v>47</v>
      </c>
      <c r="B13" s="9" t="s">
        <v>185</v>
      </c>
      <c r="C13" s="9" t="s">
        <v>97</v>
      </c>
      <c r="D13" s="9"/>
      <c r="E13" s="12" t="s">
        <v>193</v>
      </c>
      <c r="F13" s="8" t="s">
        <v>35</v>
      </c>
      <c r="G13" s="19" t="s">
        <v>18</v>
      </c>
      <c r="H13" s="12"/>
      <c r="I13" s="8">
        <v>0</v>
      </c>
    </row>
    <row r="14" spans="1:9" x14ac:dyDescent="0.3">
      <c r="A14" s="8" t="s">
        <v>47</v>
      </c>
      <c r="B14" s="9" t="s">
        <v>185</v>
      </c>
      <c r="C14" s="9" t="s">
        <v>194</v>
      </c>
      <c r="D14" s="9"/>
      <c r="E14" s="12" t="s">
        <v>195</v>
      </c>
      <c r="F14" s="8" t="s">
        <v>35</v>
      </c>
      <c r="G14" s="19" t="s">
        <v>18</v>
      </c>
      <c r="H14" s="12" t="s">
        <v>176</v>
      </c>
      <c r="I14" s="8">
        <v>0</v>
      </c>
    </row>
    <row r="15" spans="1:9" x14ac:dyDescent="0.3">
      <c r="A15" s="8" t="s">
        <v>47</v>
      </c>
      <c r="B15" s="9" t="s">
        <v>185</v>
      </c>
      <c r="C15" s="9" t="s">
        <v>196</v>
      </c>
      <c r="D15" s="9"/>
      <c r="E15" s="12" t="s">
        <v>197</v>
      </c>
      <c r="F15" s="8" t="s">
        <v>31</v>
      </c>
      <c r="G15" s="19" t="s">
        <v>18</v>
      </c>
      <c r="H15" s="12"/>
      <c r="I15" s="8">
        <v>0</v>
      </c>
    </row>
    <row r="16" spans="1:9" x14ac:dyDescent="0.3">
      <c r="A16" s="8" t="s">
        <v>47</v>
      </c>
      <c r="B16" s="9" t="s">
        <v>185</v>
      </c>
      <c r="C16" s="9" t="s">
        <v>198</v>
      </c>
      <c r="D16" s="9" t="s">
        <v>198</v>
      </c>
      <c r="E16" s="12" t="s">
        <v>199</v>
      </c>
      <c r="F16" s="8" t="s">
        <v>31</v>
      </c>
      <c r="G16" s="19" t="s">
        <v>18</v>
      </c>
      <c r="H16" s="12" t="s">
        <v>166</v>
      </c>
      <c r="I16" s="8">
        <v>0</v>
      </c>
    </row>
    <row r="17" spans="1:9" x14ac:dyDescent="0.3">
      <c r="A17" s="8" t="s">
        <v>47</v>
      </c>
      <c r="B17" s="9" t="s">
        <v>185</v>
      </c>
      <c r="C17" s="9" t="s">
        <v>171</v>
      </c>
      <c r="D17" s="9" t="s">
        <v>198</v>
      </c>
      <c r="E17" s="12" t="s">
        <v>200</v>
      </c>
      <c r="F17" s="8" t="s">
        <v>35</v>
      </c>
      <c r="G17" s="19" t="s">
        <v>18</v>
      </c>
      <c r="H17" s="12" t="s">
        <v>201</v>
      </c>
      <c r="I17" s="8">
        <v>0</v>
      </c>
    </row>
    <row r="18" spans="1:9" x14ac:dyDescent="0.3">
      <c r="A18" s="8" t="s">
        <v>47</v>
      </c>
      <c r="B18" s="9" t="s">
        <v>185</v>
      </c>
      <c r="C18" s="9" t="s">
        <v>202</v>
      </c>
      <c r="D18" s="9" t="s">
        <v>198</v>
      </c>
      <c r="E18" s="12" t="s">
        <v>203</v>
      </c>
      <c r="F18" s="8" t="s">
        <v>35</v>
      </c>
      <c r="G18" s="19" t="s">
        <v>18</v>
      </c>
      <c r="H18" s="12" t="s">
        <v>201</v>
      </c>
      <c r="I18" s="8">
        <v>0</v>
      </c>
    </row>
    <row r="19" spans="1:9" x14ac:dyDescent="0.3">
      <c r="A19" s="8" t="s">
        <v>47</v>
      </c>
      <c r="B19" s="9" t="s">
        <v>204</v>
      </c>
      <c r="C19" s="9" t="s">
        <v>205</v>
      </c>
      <c r="D19" s="9"/>
      <c r="E19" s="12" t="s">
        <v>206</v>
      </c>
      <c r="F19" s="8" t="s">
        <v>35</v>
      </c>
      <c r="G19" s="19" t="s">
        <v>18</v>
      </c>
      <c r="H19" s="12" t="s">
        <v>176</v>
      </c>
      <c r="I19" s="8">
        <v>1</v>
      </c>
    </row>
    <row r="20" spans="1:9" x14ac:dyDescent="0.3">
      <c r="A20" s="8" t="s">
        <v>47</v>
      </c>
      <c r="B20" s="9" t="s">
        <v>204</v>
      </c>
      <c r="C20" s="9" t="s">
        <v>207</v>
      </c>
      <c r="D20" s="9"/>
      <c r="E20" s="12" t="s">
        <v>208</v>
      </c>
      <c r="F20" s="8" t="s">
        <v>35</v>
      </c>
      <c r="G20" s="19" t="s">
        <v>18</v>
      </c>
      <c r="H20" s="12"/>
      <c r="I20" s="8">
        <v>0</v>
      </c>
    </row>
    <row r="21" spans="1:9" x14ac:dyDescent="0.3">
      <c r="A21" s="8" t="s">
        <v>47</v>
      </c>
      <c r="B21" s="9" t="s">
        <v>204</v>
      </c>
      <c r="C21" s="9" t="s">
        <v>209</v>
      </c>
      <c r="D21" s="9"/>
      <c r="E21" s="12" t="s">
        <v>210</v>
      </c>
      <c r="F21" s="8" t="s">
        <v>35</v>
      </c>
      <c r="G21" s="19" t="s">
        <v>18</v>
      </c>
      <c r="H21" s="12"/>
      <c r="I21" s="8">
        <v>0</v>
      </c>
    </row>
    <row r="22" spans="1:9" x14ac:dyDescent="0.3">
      <c r="A22" s="8" t="s">
        <v>47</v>
      </c>
      <c r="B22" s="9" t="s">
        <v>204</v>
      </c>
      <c r="C22" s="9" t="s">
        <v>211</v>
      </c>
      <c r="D22" s="9"/>
      <c r="E22" s="12" t="s">
        <v>212</v>
      </c>
      <c r="F22" s="8" t="s">
        <v>35</v>
      </c>
      <c r="G22" s="19" t="s">
        <v>18</v>
      </c>
      <c r="H22" s="12"/>
      <c r="I22" s="8">
        <v>0</v>
      </c>
    </row>
    <row r="23" spans="1:9" x14ac:dyDescent="0.3">
      <c r="A23" s="8" t="s">
        <v>47</v>
      </c>
      <c r="B23" s="9" t="s">
        <v>204</v>
      </c>
      <c r="C23" s="9" t="s">
        <v>213</v>
      </c>
      <c r="D23" s="9"/>
      <c r="E23" s="12" t="s">
        <v>214</v>
      </c>
      <c r="F23" s="8" t="s">
        <v>33</v>
      </c>
      <c r="G23" s="20" t="s">
        <v>22</v>
      </c>
      <c r="H23" s="12" t="s">
        <v>215</v>
      </c>
      <c r="I23" s="8">
        <v>0</v>
      </c>
    </row>
    <row r="24" spans="1:9" x14ac:dyDescent="0.3">
      <c r="A24" s="8" t="s">
        <v>47</v>
      </c>
      <c r="B24" s="9" t="s">
        <v>216</v>
      </c>
      <c r="C24" s="9" t="s">
        <v>171</v>
      </c>
      <c r="D24" s="9"/>
      <c r="E24" s="12" t="s">
        <v>217</v>
      </c>
      <c r="F24" s="8" t="s">
        <v>35</v>
      </c>
      <c r="G24" s="19" t="s">
        <v>18</v>
      </c>
      <c r="H24" s="12"/>
      <c r="I24" s="8">
        <v>1</v>
      </c>
    </row>
    <row r="25" spans="1:9" x14ac:dyDescent="0.3">
      <c r="A25" s="8" t="s">
        <v>47</v>
      </c>
      <c r="B25" s="9" t="s">
        <v>216</v>
      </c>
      <c r="C25" s="9" t="s">
        <v>218</v>
      </c>
      <c r="D25" s="9"/>
      <c r="E25" s="12" t="s">
        <v>219</v>
      </c>
      <c r="F25" s="8" t="s">
        <v>35</v>
      </c>
      <c r="G25" s="19" t="s">
        <v>18</v>
      </c>
      <c r="H25" s="12"/>
      <c r="I25" s="8">
        <v>0</v>
      </c>
    </row>
    <row r="26" spans="1:9" x14ac:dyDescent="0.3">
      <c r="A26" s="8" t="s">
        <v>47</v>
      </c>
      <c r="B26" s="9" t="s">
        <v>216</v>
      </c>
      <c r="C26" s="9" t="s">
        <v>220</v>
      </c>
      <c r="D26" s="9"/>
      <c r="E26" s="12" t="s">
        <v>221</v>
      </c>
      <c r="F26" s="8" t="s">
        <v>35</v>
      </c>
      <c r="G26" s="19" t="s">
        <v>18</v>
      </c>
      <c r="H26" s="12"/>
      <c r="I26" s="8">
        <v>0</v>
      </c>
    </row>
    <row r="27" spans="1:9" x14ac:dyDescent="0.3">
      <c r="A27" s="8" t="s">
        <v>47</v>
      </c>
      <c r="B27" s="9" t="s">
        <v>216</v>
      </c>
      <c r="C27" s="9" t="s">
        <v>222</v>
      </c>
      <c r="D27" s="9"/>
      <c r="E27" s="12" t="s">
        <v>223</v>
      </c>
      <c r="F27" s="8" t="s">
        <v>35</v>
      </c>
      <c r="G27" s="19" t="s">
        <v>18</v>
      </c>
      <c r="H27" s="12"/>
      <c r="I27" s="8">
        <v>0</v>
      </c>
    </row>
    <row r="28" spans="1:9" x14ac:dyDescent="0.3">
      <c r="A28" s="8" t="s">
        <v>47</v>
      </c>
      <c r="B28" s="9" t="s">
        <v>224</v>
      </c>
      <c r="C28" s="9" t="s">
        <v>220</v>
      </c>
      <c r="D28" s="9"/>
      <c r="E28" s="12" t="s">
        <v>225</v>
      </c>
      <c r="F28" s="8" t="s">
        <v>35</v>
      </c>
      <c r="G28" s="19" t="s">
        <v>18</v>
      </c>
      <c r="H28" s="12"/>
      <c r="I28" s="8">
        <v>1</v>
      </c>
    </row>
    <row r="29" spans="1:9" ht="26.4" x14ac:dyDescent="0.3">
      <c r="A29" s="8" t="s">
        <v>47</v>
      </c>
      <c r="B29" s="9" t="s">
        <v>224</v>
      </c>
      <c r="C29" s="9" t="s">
        <v>226</v>
      </c>
      <c r="D29" s="9"/>
      <c r="E29" s="12" t="s">
        <v>227</v>
      </c>
      <c r="F29" s="8" t="s">
        <v>31</v>
      </c>
      <c r="G29" s="19" t="s">
        <v>18</v>
      </c>
      <c r="H29" s="12" t="s">
        <v>228</v>
      </c>
      <c r="I29" s="8">
        <v>0</v>
      </c>
    </row>
    <row r="30" spans="1:9" x14ac:dyDescent="0.3">
      <c r="A30" s="8" t="s">
        <v>47</v>
      </c>
      <c r="B30" s="9" t="s">
        <v>229</v>
      </c>
      <c r="C30" s="9" t="s">
        <v>171</v>
      </c>
      <c r="D30" s="9"/>
      <c r="E30" s="12" t="s">
        <v>230</v>
      </c>
      <c r="F30" s="8" t="s">
        <v>35</v>
      </c>
      <c r="G30" s="19" t="s">
        <v>18</v>
      </c>
      <c r="H30" s="12"/>
      <c r="I30" s="8">
        <v>1</v>
      </c>
    </row>
    <row r="31" spans="1:9" x14ac:dyDescent="0.3">
      <c r="A31" s="8" t="s">
        <v>47</v>
      </c>
      <c r="B31" s="9" t="s">
        <v>229</v>
      </c>
      <c r="C31" s="9" t="s">
        <v>97</v>
      </c>
      <c r="D31" s="9"/>
      <c r="E31" s="12" t="s">
        <v>231</v>
      </c>
      <c r="F31" s="8" t="s">
        <v>35</v>
      </c>
      <c r="G31" s="19" t="s">
        <v>18</v>
      </c>
      <c r="H31" s="12"/>
      <c r="I31" s="8">
        <v>0</v>
      </c>
    </row>
    <row r="32" spans="1:9" x14ac:dyDescent="0.3">
      <c r="A32" s="8" t="s">
        <v>47</v>
      </c>
      <c r="B32" s="9" t="s">
        <v>229</v>
      </c>
      <c r="C32" s="9" t="s">
        <v>174</v>
      </c>
      <c r="D32" s="9"/>
      <c r="E32" s="12" t="s">
        <v>232</v>
      </c>
      <c r="F32" s="8" t="s">
        <v>35</v>
      </c>
      <c r="G32" s="19" t="s">
        <v>18</v>
      </c>
      <c r="H32" s="12" t="s">
        <v>176</v>
      </c>
      <c r="I32" s="8">
        <v>0</v>
      </c>
    </row>
    <row r="33" spans="1:9" x14ac:dyDescent="0.3">
      <c r="A33" s="8" t="s">
        <v>47</v>
      </c>
      <c r="B33" s="9" t="s">
        <v>229</v>
      </c>
      <c r="C33" s="9" t="s">
        <v>202</v>
      </c>
      <c r="D33" s="9"/>
      <c r="E33" s="12" t="s">
        <v>233</v>
      </c>
      <c r="F33" s="8" t="s">
        <v>35</v>
      </c>
      <c r="G33" s="19" t="s">
        <v>18</v>
      </c>
      <c r="H33" s="12"/>
      <c r="I33" s="8">
        <v>0</v>
      </c>
    </row>
    <row r="34" spans="1:9" ht="26.4" x14ac:dyDescent="0.3">
      <c r="A34" s="8" t="s">
        <v>47</v>
      </c>
      <c r="B34" s="9" t="s">
        <v>229</v>
      </c>
      <c r="C34" s="8" t="s">
        <v>234</v>
      </c>
      <c r="D34" s="9"/>
      <c r="E34" s="12" t="s">
        <v>235</v>
      </c>
      <c r="F34" s="8" t="s">
        <v>33</v>
      </c>
      <c r="G34" s="36" t="s">
        <v>18</v>
      </c>
      <c r="H34" s="12" t="s">
        <v>236</v>
      </c>
      <c r="I34" s="8">
        <v>0</v>
      </c>
    </row>
    <row r="35" spans="1:9" x14ac:dyDescent="0.3">
      <c r="A35" s="8" t="s">
        <v>47</v>
      </c>
      <c r="B35" s="9" t="s">
        <v>237</v>
      </c>
      <c r="C35" s="9" t="s">
        <v>171</v>
      </c>
      <c r="D35" s="9"/>
      <c r="E35" s="12" t="s">
        <v>238</v>
      </c>
      <c r="F35" s="8" t="s">
        <v>35</v>
      </c>
      <c r="G35" s="19" t="s">
        <v>18</v>
      </c>
      <c r="H35" s="12"/>
      <c r="I35" s="8">
        <v>1</v>
      </c>
    </row>
    <row r="36" spans="1:9" x14ac:dyDescent="0.3">
      <c r="A36" s="8" t="s">
        <v>47</v>
      </c>
      <c r="B36" s="9" t="s">
        <v>237</v>
      </c>
      <c r="C36" s="9" t="s">
        <v>239</v>
      </c>
      <c r="D36" s="9"/>
      <c r="E36" s="12" t="s">
        <v>240</v>
      </c>
      <c r="F36" s="8" t="s">
        <v>35</v>
      </c>
      <c r="G36" s="19" t="s">
        <v>18</v>
      </c>
      <c r="H36" s="12" t="s">
        <v>176</v>
      </c>
      <c r="I36" s="8">
        <v>0</v>
      </c>
    </row>
    <row r="37" spans="1:9" x14ac:dyDescent="0.3">
      <c r="A37" s="8" t="s">
        <v>47</v>
      </c>
      <c r="B37" s="9" t="s">
        <v>237</v>
      </c>
      <c r="C37" s="9" t="s">
        <v>241</v>
      </c>
      <c r="D37" s="9"/>
      <c r="E37" s="12" t="s">
        <v>242</v>
      </c>
      <c r="F37" s="8" t="s">
        <v>35</v>
      </c>
      <c r="G37" s="19" t="s">
        <v>18</v>
      </c>
      <c r="H37" s="12"/>
      <c r="I37" s="8">
        <v>0</v>
      </c>
    </row>
    <row r="38" spans="1:9" x14ac:dyDescent="0.3">
      <c r="A38" s="8" t="s">
        <v>47</v>
      </c>
      <c r="B38" s="9" t="s">
        <v>237</v>
      </c>
      <c r="C38" s="9" t="s">
        <v>243</v>
      </c>
      <c r="D38" s="9"/>
      <c r="E38" s="12" t="s">
        <v>244</v>
      </c>
      <c r="F38" s="8" t="s">
        <v>35</v>
      </c>
      <c r="G38" s="19" t="s">
        <v>18</v>
      </c>
      <c r="H38" s="12"/>
      <c r="I38" s="8">
        <v>0</v>
      </c>
    </row>
    <row r="39" spans="1:9" x14ac:dyDescent="0.3">
      <c r="A39" s="8" t="s">
        <v>47</v>
      </c>
      <c r="B39" s="9" t="s">
        <v>237</v>
      </c>
      <c r="C39" s="9" t="s">
        <v>245</v>
      </c>
      <c r="D39" s="9"/>
      <c r="E39" s="12" t="s">
        <v>246</v>
      </c>
      <c r="F39" s="8" t="s">
        <v>35</v>
      </c>
      <c r="G39" s="19" t="s">
        <v>18</v>
      </c>
      <c r="H39" s="12"/>
      <c r="I39" s="8">
        <v>0</v>
      </c>
    </row>
    <row r="40" spans="1:9" x14ac:dyDescent="0.3">
      <c r="A40" s="8" t="s">
        <v>47</v>
      </c>
      <c r="B40" s="9" t="s">
        <v>237</v>
      </c>
      <c r="C40" s="9" t="s">
        <v>190</v>
      </c>
      <c r="D40" s="9"/>
      <c r="E40" s="12" t="s">
        <v>247</v>
      </c>
      <c r="F40" s="8" t="s">
        <v>35</v>
      </c>
      <c r="G40" s="19" t="s">
        <v>18</v>
      </c>
      <c r="H40" s="12" t="s">
        <v>176</v>
      </c>
      <c r="I40" s="8">
        <v>0</v>
      </c>
    </row>
    <row r="41" spans="1:9" x14ac:dyDescent="0.3">
      <c r="A41" s="8" t="s">
        <v>47</v>
      </c>
      <c r="B41" s="9" t="s">
        <v>237</v>
      </c>
      <c r="C41" s="9" t="s">
        <v>248</v>
      </c>
      <c r="D41" s="9"/>
      <c r="E41" s="12" t="s">
        <v>249</v>
      </c>
      <c r="F41" s="8" t="s">
        <v>33</v>
      </c>
      <c r="G41" s="20" t="s">
        <v>22</v>
      </c>
      <c r="H41" s="12" t="s">
        <v>250</v>
      </c>
      <c r="I41" s="8">
        <v>0</v>
      </c>
    </row>
    <row r="42" spans="1:9" x14ac:dyDescent="0.3">
      <c r="A42" s="8" t="s">
        <v>47</v>
      </c>
      <c r="B42" s="9" t="s">
        <v>251</v>
      </c>
      <c r="C42" s="9" t="s">
        <v>38</v>
      </c>
      <c r="D42" s="9"/>
      <c r="E42" s="12" t="s">
        <v>252</v>
      </c>
      <c r="F42" s="8" t="s">
        <v>35</v>
      </c>
      <c r="G42" s="19" t="s">
        <v>18</v>
      </c>
      <c r="H42" s="12"/>
      <c r="I42" s="8">
        <v>1</v>
      </c>
    </row>
    <row r="43" spans="1:9" x14ac:dyDescent="0.3">
      <c r="A43" s="8" t="s">
        <v>47</v>
      </c>
      <c r="B43" s="9" t="s">
        <v>251</v>
      </c>
      <c r="C43" s="9" t="s">
        <v>171</v>
      </c>
      <c r="D43" s="9"/>
      <c r="E43" s="12" t="s">
        <v>253</v>
      </c>
      <c r="F43" s="8" t="s">
        <v>35</v>
      </c>
      <c r="G43" s="19" t="s">
        <v>18</v>
      </c>
      <c r="H43" s="12"/>
      <c r="I43" s="8">
        <v>0</v>
      </c>
    </row>
    <row r="44" spans="1:9" x14ac:dyDescent="0.3">
      <c r="A44" s="8" t="s">
        <v>47</v>
      </c>
      <c r="B44" s="9" t="s">
        <v>251</v>
      </c>
      <c r="C44" s="9" t="s">
        <v>97</v>
      </c>
      <c r="D44" s="9"/>
      <c r="E44" s="12" t="s">
        <v>254</v>
      </c>
      <c r="F44" s="8" t="s">
        <v>35</v>
      </c>
      <c r="G44" s="19" t="s">
        <v>18</v>
      </c>
      <c r="H44" s="12"/>
      <c r="I44" s="8">
        <v>0</v>
      </c>
    </row>
    <row r="45" spans="1:9" x14ac:dyDescent="0.3">
      <c r="A45" s="8" t="s">
        <v>47</v>
      </c>
      <c r="B45" s="9" t="s">
        <v>251</v>
      </c>
      <c r="C45" s="9" t="s">
        <v>255</v>
      </c>
      <c r="D45" s="9"/>
      <c r="E45" s="12" t="s">
        <v>256</v>
      </c>
      <c r="F45" s="8" t="s">
        <v>33</v>
      </c>
      <c r="G45" s="20" t="s">
        <v>22</v>
      </c>
      <c r="H45" s="12"/>
      <c r="I45" s="8">
        <v>0</v>
      </c>
    </row>
    <row r="46" spans="1:9" x14ac:dyDescent="0.3">
      <c r="A46" s="8" t="s">
        <v>47</v>
      </c>
      <c r="B46" s="9" t="s">
        <v>251</v>
      </c>
      <c r="C46" s="9" t="s">
        <v>257</v>
      </c>
      <c r="D46" s="9"/>
      <c r="E46" s="12" t="s">
        <v>256</v>
      </c>
      <c r="F46" s="8" t="s">
        <v>33</v>
      </c>
      <c r="G46" s="20" t="s">
        <v>22</v>
      </c>
      <c r="H46" s="12"/>
      <c r="I46" s="8">
        <v>0</v>
      </c>
    </row>
    <row r="47" spans="1:9" x14ac:dyDescent="0.3">
      <c r="A47" s="8" t="s">
        <v>47</v>
      </c>
      <c r="B47" s="9" t="s">
        <v>258</v>
      </c>
      <c r="C47" s="9" t="s">
        <v>259</v>
      </c>
      <c r="D47" s="9"/>
      <c r="E47" s="12" t="s">
        <v>260</v>
      </c>
      <c r="F47" s="8" t="s">
        <v>35</v>
      </c>
      <c r="G47" s="19" t="s">
        <v>18</v>
      </c>
      <c r="H47" s="12"/>
      <c r="I47" s="8">
        <v>1</v>
      </c>
    </row>
    <row r="48" spans="1:9" x14ac:dyDescent="0.3">
      <c r="A48" s="8" t="s">
        <v>47</v>
      </c>
      <c r="B48" s="9" t="s">
        <v>258</v>
      </c>
      <c r="C48" s="9" t="s">
        <v>261</v>
      </c>
      <c r="D48" s="9"/>
      <c r="E48" s="12" t="s">
        <v>253</v>
      </c>
      <c r="F48" s="8" t="s">
        <v>35</v>
      </c>
      <c r="G48" s="19" t="s">
        <v>18</v>
      </c>
      <c r="H48" s="12"/>
      <c r="I48" s="8">
        <v>0</v>
      </c>
    </row>
    <row r="49" spans="1:9" x14ac:dyDescent="0.3">
      <c r="A49" s="8" t="s">
        <v>47</v>
      </c>
      <c r="B49" s="9" t="s">
        <v>258</v>
      </c>
      <c r="C49" s="9" t="s">
        <v>262</v>
      </c>
      <c r="D49" s="9"/>
      <c r="E49" s="12" t="s">
        <v>263</v>
      </c>
      <c r="F49" s="8" t="s">
        <v>35</v>
      </c>
      <c r="G49" s="19" t="s">
        <v>18</v>
      </c>
      <c r="H49" s="12"/>
      <c r="I49" s="8">
        <v>0</v>
      </c>
    </row>
    <row r="50" spans="1:9" x14ac:dyDescent="0.3">
      <c r="A50" s="8" t="s">
        <v>47</v>
      </c>
      <c r="B50" s="9" t="s">
        <v>258</v>
      </c>
      <c r="C50" s="9" t="s">
        <v>194</v>
      </c>
      <c r="D50" s="9"/>
      <c r="E50" s="12" t="s">
        <v>264</v>
      </c>
      <c r="F50" s="8" t="s">
        <v>33</v>
      </c>
      <c r="G50" s="20" t="s">
        <v>22</v>
      </c>
      <c r="H50" s="12"/>
      <c r="I50" s="8">
        <v>0</v>
      </c>
    </row>
    <row r="51" spans="1:9" x14ac:dyDescent="0.3">
      <c r="A51" s="8" t="s">
        <v>47</v>
      </c>
      <c r="B51" s="9" t="s">
        <v>265</v>
      </c>
      <c r="C51" s="9" t="s">
        <v>266</v>
      </c>
      <c r="D51" s="9"/>
      <c r="E51" s="12" t="s">
        <v>267</v>
      </c>
      <c r="F51" s="8" t="s">
        <v>31</v>
      </c>
      <c r="G51" s="19" t="s">
        <v>18</v>
      </c>
      <c r="H51" s="12" t="s">
        <v>268</v>
      </c>
      <c r="I51" s="8">
        <v>1</v>
      </c>
    </row>
    <row r="52" spans="1:9" x14ac:dyDescent="0.3">
      <c r="A52" s="8" t="s">
        <v>47</v>
      </c>
      <c r="B52" s="9" t="s">
        <v>265</v>
      </c>
      <c r="C52" s="9" t="s">
        <v>174</v>
      </c>
      <c r="D52" s="9"/>
      <c r="E52" s="12" t="s">
        <v>269</v>
      </c>
      <c r="F52" s="8" t="s">
        <v>33</v>
      </c>
      <c r="G52" s="20" t="s">
        <v>22</v>
      </c>
      <c r="H52" s="12"/>
      <c r="I52" s="8">
        <v>0</v>
      </c>
    </row>
    <row r="53" spans="1:9" x14ac:dyDescent="0.3">
      <c r="A53" s="8" t="s">
        <v>47</v>
      </c>
      <c r="B53" s="9" t="s">
        <v>265</v>
      </c>
      <c r="C53" s="9" t="s">
        <v>171</v>
      </c>
      <c r="D53" s="9"/>
      <c r="E53" s="12" t="s">
        <v>269</v>
      </c>
      <c r="F53" s="8" t="s">
        <v>33</v>
      </c>
      <c r="G53" s="20" t="s">
        <v>22</v>
      </c>
      <c r="H53" s="12"/>
      <c r="I53" s="8">
        <v>0</v>
      </c>
    </row>
    <row r="54" spans="1:9" x14ac:dyDescent="0.3">
      <c r="A54" s="8" t="s">
        <v>47</v>
      </c>
      <c r="B54" s="9" t="s">
        <v>270</v>
      </c>
      <c r="C54" s="9" t="s">
        <v>271</v>
      </c>
      <c r="D54" s="9"/>
      <c r="E54" s="12" t="s">
        <v>272</v>
      </c>
      <c r="F54" s="8" t="s">
        <v>31</v>
      </c>
      <c r="G54" s="19" t="s">
        <v>18</v>
      </c>
      <c r="H54" s="12"/>
      <c r="I54" s="8">
        <v>1</v>
      </c>
    </row>
    <row r="55" spans="1:9" x14ac:dyDescent="0.3">
      <c r="A55" s="8" t="s">
        <v>47</v>
      </c>
      <c r="B55" s="9" t="s">
        <v>270</v>
      </c>
      <c r="C55" s="9" t="s">
        <v>273</v>
      </c>
      <c r="D55" s="9"/>
      <c r="E55" s="12" t="s">
        <v>274</v>
      </c>
      <c r="F55" s="8" t="s">
        <v>31</v>
      </c>
      <c r="G55" s="19" t="s">
        <v>18</v>
      </c>
      <c r="H55" s="12"/>
      <c r="I55" s="8">
        <v>0</v>
      </c>
    </row>
    <row r="56" spans="1:9" x14ac:dyDescent="0.3">
      <c r="A56" s="8" t="s">
        <v>47</v>
      </c>
      <c r="B56" s="9" t="s">
        <v>270</v>
      </c>
      <c r="C56" s="9" t="s">
        <v>275</v>
      </c>
      <c r="D56" s="9"/>
      <c r="E56" s="12" t="s">
        <v>276</v>
      </c>
      <c r="F56" s="8" t="s">
        <v>33</v>
      </c>
      <c r="G56" s="20" t="s">
        <v>22</v>
      </c>
      <c r="H56" s="12"/>
      <c r="I56" s="8">
        <v>0</v>
      </c>
    </row>
    <row r="57" spans="1:9" x14ac:dyDescent="0.3">
      <c r="A57" s="8" t="s">
        <v>47</v>
      </c>
      <c r="B57" s="9" t="s">
        <v>277</v>
      </c>
      <c r="C57" s="9" t="s">
        <v>278</v>
      </c>
      <c r="D57" s="9"/>
      <c r="E57" s="12" t="s">
        <v>279</v>
      </c>
      <c r="F57" s="8" t="s">
        <v>35</v>
      </c>
      <c r="G57" s="19" t="s">
        <v>18</v>
      </c>
      <c r="H57" s="12" t="s">
        <v>280</v>
      </c>
      <c r="I57" s="8">
        <v>1</v>
      </c>
    </row>
    <row r="58" spans="1:9" x14ac:dyDescent="0.3">
      <c r="A58" s="8" t="s">
        <v>47</v>
      </c>
      <c r="B58" s="9" t="s">
        <v>277</v>
      </c>
      <c r="C58" s="9" t="s">
        <v>177</v>
      </c>
      <c r="D58" s="9"/>
      <c r="E58" s="12" t="s">
        <v>281</v>
      </c>
      <c r="F58" s="8" t="s">
        <v>35</v>
      </c>
      <c r="G58" s="19" t="s">
        <v>18</v>
      </c>
      <c r="H58" s="12" t="s">
        <v>176</v>
      </c>
      <c r="I58" s="8">
        <v>0</v>
      </c>
    </row>
    <row r="59" spans="1:9" x14ac:dyDescent="0.3">
      <c r="A59" s="8" t="s">
        <v>47</v>
      </c>
      <c r="B59" s="9" t="s">
        <v>277</v>
      </c>
      <c r="C59" s="9" t="s">
        <v>282</v>
      </c>
      <c r="D59" s="9"/>
      <c r="E59" s="12" t="s">
        <v>283</v>
      </c>
      <c r="F59" s="8" t="s">
        <v>35</v>
      </c>
      <c r="G59" s="19" t="s">
        <v>18</v>
      </c>
      <c r="H59" s="12"/>
      <c r="I59" s="8">
        <v>0</v>
      </c>
    </row>
    <row r="60" spans="1:9" x14ac:dyDescent="0.3">
      <c r="A60" s="8" t="s">
        <v>47</v>
      </c>
      <c r="B60" s="9" t="s">
        <v>277</v>
      </c>
      <c r="C60" s="9" t="s">
        <v>284</v>
      </c>
      <c r="D60" s="9" t="s">
        <v>284</v>
      </c>
      <c r="E60" s="12" t="s">
        <v>285</v>
      </c>
      <c r="F60" s="8" t="s">
        <v>31</v>
      </c>
      <c r="G60" s="19" t="s">
        <v>18</v>
      </c>
      <c r="H60" s="12" t="s">
        <v>166</v>
      </c>
      <c r="I60" s="8">
        <v>0</v>
      </c>
    </row>
    <row r="61" spans="1:9" x14ac:dyDescent="0.3">
      <c r="A61" s="8" t="s">
        <v>47</v>
      </c>
      <c r="B61" s="9" t="s">
        <v>277</v>
      </c>
      <c r="C61" s="9" t="s">
        <v>286</v>
      </c>
      <c r="D61" s="9" t="s">
        <v>284</v>
      </c>
      <c r="E61" s="12" t="s">
        <v>287</v>
      </c>
      <c r="F61" s="8" t="s">
        <v>35</v>
      </c>
      <c r="G61" s="19" t="s">
        <v>18</v>
      </c>
      <c r="H61" s="12" t="s">
        <v>201</v>
      </c>
      <c r="I61" s="8">
        <v>0</v>
      </c>
    </row>
    <row r="62" spans="1:9" x14ac:dyDescent="0.3">
      <c r="A62" s="8" t="s">
        <v>47</v>
      </c>
      <c r="B62" s="9" t="s">
        <v>277</v>
      </c>
      <c r="C62" s="9" t="s">
        <v>288</v>
      </c>
      <c r="D62" s="9" t="s">
        <v>284</v>
      </c>
      <c r="E62" s="12" t="s">
        <v>289</v>
      </c>
      <c r="F62" s="8" t="s">
        <v>31</v>
      </c>
      <c r="G62" s="19" t="s">
        <v>18</v>
      </c>
      <c r="H62" s="12" t="s">
        <v>201</v>
      </c>
      <c r="I62" s="8">
        <v>0</v>
      </c>
    </row>
    <row r="63" spans="1:9" x14ac:dyDescent="0.3">
      <c r="A63" s="8" t="s">
        <v>47</v>
      </c>
      <c r="B63" s="9" t="s">
        <v>121</v>
      </c>
      <c r="C63" s="9" t="s">
        <v>171</v>
      </c>
      <c r="D63" s="9"/>
      <c r="E63" s="12" t="s">
        <v>290</v>
      </c>
      <c r="F63" s="8" t="s">
        <v>35</v>
      </c>
      <c r="G63" s="19" t="s">
        <v>18</v>
      </c>
      <c r="H63" s="12"/>
      <c r="I63" s="8">
        <v>1</v>
      </c>
    </row>
    <row r="64" spans="1:9" x14ac:dyDescent="0.3">
      <c r="A64" s="8" t="s">
        <v>47</v>
      </c>
      <c r="B64" s="9" t="s">
        <v>121</v>
      </c>
      <c r="C64" s="9" t="s">
        <v>291</v>
      </c>
      <c r="D64" s="9"/>
      <c r="E64" s="12" t="s">
        <v>292</v>
      </c>
      <c r="F64" s="8" t="s">
        <v>35</v>
      </c>
      <c r="G64" s="19" t="s">
        <v>18</v>
      </c>
      <c r="H64" s="12"/>
      <c r="I64" s="8">
        <v>0</v>
      </c>
    </row>
    <row r="65" spans="1:9" x14ac:dyDescent="0.3">
      <c r="A65" s="8" t="s">
        <v>47</v>
      </c>
      <c r="B65" s="9" t="s">
        <v>293</v>
      </c>
      <c r="C65" s="9" t="s">
        <v>294</v>
      </c>
      <c r="D65" s="9" t="s">
        <v>294</v>
      </c>
      <c r="E65" s="12" t="s">
        <v>295</v>
      </c>
      <c r="F65" s="8" t="s">
        <v>31</v>
      </c>
      <c r="G65" s="19" t="s">
        <v>18</v>
      </c>
      <c r="H65" s="12" t="s">
        <v>166</v>
      </c>
      <c r="I65" s="8">
        <v>1</v>
      </c>
    </row>
    <row r="66" spans="1:9" x14ac:dyDescent="0.3">
      <c r="A66" s="8" t="s">
        <v>47</v>
      </c>
      <c r="B66" s="9" t="s">
        <v>293</v>
      </c>
      <c r="C66" s="9" t="s">
        <v>171</v>
      </c>
      <c r="D66" s="9" t="s">
        <v>294</v>
      </c>
      <c r="E66" s="12" t="s">
        <v>296</v>
      </c>
      <c r="F66" s="8" t="s">
        <v>35</v>
      </c>
      <c r="G66" s="19" t="s">
        <v>18</v>
      </c>
      <c r="H66" s="12" t="s">
        <v>201</v>
      </c>
      <c r="I66" s="8">
        <v>0</v>
      </c>
    </row>
    <row r="67" spans="1:9" x14ac:dyDescent="0.3">
      <c r="A67" s="8" t="s">
        <v>47</v>
      </c>
      <c r="B67" s="9" t="s">
        <v>293</v>
      </c>
      <c r="C67" s="9" t="s">
        <v>297</v>
      </c>
      <c r="D67" s="9" t="s">
        <v>294</v>
      </c>
      <c r="E67" s="12" t="s">
        <v>298</v>
      </c>
      <c r="F67" s="8" t="s">
        <v>35</v>
      </c>
      <c r="G67" s="19" t="s">
        <v>18</v>
      </c>
      <c r="H67" s="12" t="s">
        <v>201</v>
      </c>
      <c r="I67" s="8">
        <v>0</v>
      </c>
    </row>
    <row r="68" spans="1:9" x14ac:dyDescent="0.3">
      <c r="A68" s="8" t="s">
        <v>47</v>
      </c>
      <c r="B68" s="9" t="s">
        <v>299</v>
      </c>
      <c r="C68" s="9" t="s">
        <v>300</v>
      </c>
      <c r="D68" s="9"/>
      <c r="E68" s="12" t="s">
        <v>301</v>
      </c>
      <c r="F68" s="8" t="s">
        <v>35</v>
      </c>
      <c r="G68" s="19" t="s">
        <v>18</v>
      </c>
      <c r="H68" s="12"/>
      <c r="I68" s="8">
        <v>1</v>
      </c>
    </row>
    <row r="69" spans="1:9" x14ac:dyDescent="0.3">
      <c r="A69" s="8" t="s">
        <v>47</v>
      </c>
      <c r="B69" s="9" t="s">
        <v>299</v>
      </c>
      <c r="C69" s="9" t="s">
        <v>97</v>
      </c>
      <c r="D69" s="9"/>
      <c r="E69" s="12" t="s">
        <v>302</v>
      </c>
      <c r="F69" s="8" t="s">
        <v>35</v>
      </c>
      <c r="G69" s="19" t="s">
        <v>18</v>
      </c>
      <c r="H69" s="12"/>
      <c r="I69" s="8">
        <v>0</v>
      </c>
    </row>
    <row r="70" spans="1:9" x14ac:dyDescent="0.3">
      <c r="A70" s="8" t="s">
        <v>47</v>
      </c>
      <c r="B70" s="9" t="s">
        <v>299</v>
      </c>
      <c r="C70" s="9" t="s">
        <v>303</v>
      </c>
      <c r="D70" s="9" t="s">
        <v>303</v>
      </c>
      <c r="E70" s="12" t="s">
        <v>304</v>
      </c>
      <c r="F70" s="8" t="s">
        <v>31</v>
      </c>
      <c r="G70" s="19" t="s">
        <v>18</v>
      </c>
      <c r="H70" s="12" t="s">
        <v>166</v>
      </c>
      <c r="I70" s="8">
        <v>0</v>
      </c>
    </row>
    <row r="71" spans="1:9" x14ac:dyDescent="0.3">
      <c r="A71" s="8" t="s">
        <v>47</v>
      </c>
      <c r="B71" s="9" t="s">
        <v>305</v>
      </c>
      <c r="C71" s="9" t="s">
        <v>300</v>
      </c>
      <c r="D71" s="9"/>
      <c r="E71" s="12" t="s">
        <v>306</v>
      </c>
      <c r="F71" s="8" t="s">
        <v>35</v>
      </c>
      <c r="G71" s="19" t="s">
        <v>18</v>
      </c>
      <c r="H71" s="12"/>
      <c r="I71" s="8">
        <v>1</v>
      </c>
    </row>
    <row r="72" spans="1:9" x14ac:dyDescent="0.3">
      <c r="A72" s="8" t="s">
        <v>47</v>
      </c>
      <c r="B72" s="9" t="s">
        <v>305</v>
      </c>
      <c r="C72" s="9" t="s">
        <v>97</v>
      </c>
      <c r="D72" s="9"/>
      <c r="E72" s="12" t="s">
        <v>302</v>
      </c>
      <c r="F72" s="8" t="s">
        <v>35</v>
      </c>
      <c r="G72" s="19" t="s">
        <v>18</v>
      </c>
      <c r="H72" s="12"/>
      <c r="I72" s="8">
        <v>0</v>
      </c>
    </row>
    <row r="73" spans="1:9" ht="26.4" x14ac:dyDescent="0.3">
      <c r="A73" s="8" t="s">
        <v>47</v>
      </c>
      <c r="B73" s="9" t="s">
        <v>305</v>
      </c>
      <c r="C73" s="9" t="s">
        <v>303</v>
      </c>
      <c r="D73" s="9"/>
      <c r="E73" s="12" t="s">
        <v>307</v>
      </c>
      <c r="F73" s="8" t="s">
        <v>31</v>
      </c>
      <c r="G73" s="21" t="s">
        <v>20</v>
      </c>
      <c r="H73" s="12" t="s">
        <v>308</v>
      </c>
      <c r="I73" s="8">
        <v>0</v>
      </c>
    </row>
    <row r="74" spans="1:9" x14ac:dyDescent="0.3">
      <c r="A74" s="8" t="s">
        <v>47</v>
      </c>
      <c r="B74" s="9" t="s">
        <v>309</v>
      </c>
      <c r="C74" s="9" t="s">
        <v>310</v>
      </c>
      <c r="D74" s="9"/>
      <c r="E74" s="12" t="s">
        <v>311</v>
      </c>
      <c r="F74" s="8" t="s">
        <v>35</v>
      </c>
      <c r="G74" s="19" t="s">
        <v>18</v>
      </c>
      <c r="H74" s="12"/>
      <c r="I74" s="8">
        <v>1</v>
      </c>
    </row>
    <row r="75" spans="1:9" x14ac:dyDescent="0.3">
      <c r="A75" s="8" t="s">
        <v>47</v>
      </c>
      <c r="B75" s="9" t="s">
        <v>309</v>
      </c>
      <c r="C75" s="9" t="s">
        <v>312</v>
      </c>
      <c r="D75" s="9"/>
      <c r="E75" s="12" t="s">
        <v>313</v>
      </c>
      <c r="F75" s="8" t="s">
        <v>35</v>
      </c>
      <c r="G75" s="19" t="s">
        <v>18</v>
      </c>
      <c r="H75" s="12"/>
      <c r="I75" s="8">
        <v>0</v>
      </c>
    </row>
    <row r="76" spans="1:9" x14ac:dyDescent="0.3">
      <c r="A76" s="8" t="s">
        <v>47</v>
      </c>
      <c r="B76" s="9" t="s">
        <v>309</v>
      </c>
      <c r="C76" s="9" t="s">
        <v>314</v>
      </c>
      <c r="D76" s="9"/>
      <c r="E76" s="12" t="s">
        <v>313</v>
      </c>
      <c r="F76" s="8" t="s">
        <v>35</v>
      </c>
      <c r="G76" s="19" t="s">
        <v>18</v>
      </c>
      <c r="H76" s="12"/>
      <c r="I76" s="8">
        <v>0</v>
      </c>
    </row>
    <row r="77" spans="1:9" x14ac:dyDescent="0.3">
      <c r="A77" s="8" t="s">
        <v>47</v>
      </c>
      <c r="B77" s="9" t="s">
        <v>309</v>
      </c>
      <c r="C77" s="9" t="s">
        <v>315</v>
      </c>
      <c r="D77" s="9"/>
      <c r="E77" s="12" t="s">
        <v>316</v>
      </c>
      <c r="F77" s="8" t="s">
        <v>33</v>
      </c>
      <c r="G77" s="19" t="s">
        <v>18</v>
      </c>
      <c r="H77" s="12"/>
      <c r="I77" s="8">
        <v>0</v>
      </c>
    </row>
    <row r="78" spans="1:9" x14ac:dyDescent="0.3">
      <c r="A78" s="8" t="s">
        <v>47</v>
      </c>
      <c r="B78" s="9" t="s">
        <v>309</v>
      </c>
      <c r="C78" s="9" t="s">
        <v>317</v>
      </c>
      <c r="D78" s="9"/>
      <c r="E78" s="12" t="s">
        <v>318</v>
      </c>
      <c r="F78" s="8" t="s">
        <v>35</v>
      </c>
      <c r="G78" s="19" t="s">
        <v>18</v>
      </c>
      <c r="H78" s="12"/>
      <c r="I78" s="8">
        <v>0</v>
      </c>
    </row>
    <row r="79" spans="1:9" x14ac:dyDescent="0.3">
      <c r="A79" s="8" t="s">
        <v>47</v>
      </c>
      <c r="B79" s="9" t="s">
        <v>309</v>
      </c>
      <c r="C79" s="9" t="s">
        <v>319</v>
      </c>
      <c r="D79" s="9"/>
      <c r="E79" s="12" t="s">
        <v>320</v>
      </c>
      <c r="F79" s="8" t="s">
        <v>35</v>
      </c>
      <c r="G79" s="19" t="s">
        <v>18</v>
      </c>
      <c r="H79" s="12"/>
      <c r="I79" s="8">
        <v>0</v>
      </c>
    </row>
    <row r="80" spans="1:9" x14ac:dyDescent="0.3">
      <c r="A80" s="8" t="s">
        <v>47</v>
      </c>
      <c r="B80" s="9" t="s">
        <v>309</v>
      </c>
      <c r="C80" s="9" t="s">
        <v>321</v>
      </c>
      <c r="D80" s="9"/>
      <c r="E80" s="12" t="s">
        <v>322</v>
      </c>
      <c r="F80" s="8" t="s">
        <v>35</v>
      </c>
      <c r="G80" s="19" t="s">
        <v>18</v>
      </c>
      <c r="H80" s="12"/>
      <c r="I80" s="8">
        <v>0</v>
      </c>
    </row>
    <row r="81" spans="1:9" x14ac:dyDescent="0.3">
      <c r="A81" s="8" t="s">
        <v>47</v>
      </c>
      <c r="B81" s="9" t="s">
        <v>309</v>
      </c>
      <c r="C81" s="9" t="s">
        <v>323</v>
      </c>
      <c r="D81" s="9"/>
      <c r="E81" s="12" t="s">
        <v>324</v>
      </c>
      <c r="F81" s="8" t="s">
        <v>35</v>
      </c>
      <c r="G81" s="19" t="s">
        <v>18</v>
      </c>
      <c r="H81" s="12"/>
      <c r="I81" s="8">
        <v>0</v>
      </c>
    </row>
    <row r="82" spans="1:9" x14ac:dyDescent="0.3">
      <c r="A82" s="8" t="s">
        <v>47</v>
      </c>
      <c r="B82" s="9" t="s">
        <v>309</v>
      </c>
      <c r="C82" s="9" t="s">
        <v>325</v>
      </c>
      <c r="D82" s="9"/>
      <c r="E82" s="12" t="s">
        <v>326</v>
      </c>
      <c r="F82" s="8" t="s">
        <v>33</v>
      </c>
      <c r="G82" s="19" t="s">
        <v>18</v>
      </c>
      <c r="H82" s="12"/>
      <c r="I82" s="8">
        <v>0</v>
      </c>
    </row>
    <row r="83" spans="1:9" x14ac:dyDescent="0.3">
      <c r="A83" s="8" t="s">
        <v>53</v>
      </c>
      <c r="B83" s="9" t="s">
        <v>327</v>
      </c>
      <c r="C83" s="9" t="s">
        <v>239</v>
      </c>
      <c r="D83" s="9"/>
      <c r="E83" s="12" t="s">
        <v>240</v>
      </c>
      <c r="F83" s="8" t="s">
        <v>35</v>
      </c>
      <c r="G83" s="19" t="s">
        <v>18</v>
      </c>
      <c r="H83" s="12" t="s">
        <v>176</v>
      </c>
      <c r="I83" s="8">
        <v>1</v>
      </c>
    </row>
    <row r="84" spans="1:9" x14ac:dyDescent="0.3">
      <c r="A84" s="8" t="s">
        <v>53</v>
      </c>
      <c r="B84" s="9" t="s">
        <v>327</v>
      </c>
      <c r="C84" s="9" t="s">
        <v>241</v>
      </c>
      <c r="D84" s="9"/>
      <c r="E84" s="12" t="s">
        <v>328</v>
      </c>
      <c r="F84" s="8" t="s">
        <v>35</v>
      </c>
      <c r="G84" s="19" t="s">
        <v>18</v>
      </c>
      <c r="H84" s="12"/>
      <c r="I84" s="8">
        <v>0</v>
      </c>
    </row>
    <row r="85" spans="1:9" x14ac:dyDescent="0.3">
      <c r="A85" s="8" t="s">
        <v>53</v>
      </c>
      <c r="B85" s="9" t="s">
        <v>327</v>
      </c>
      <c r="C85" s="9" t="s">
        <v>171</v>
      </c>
      <c r="D85" s="9"/>
      <c r="E85" s="12" t="s">
        <v>329</v>
      </c>
      <c r="F85" s="8" t="s">
        <v>35</v>
      </c>
      <c r="G85" s="19" t="s">
        <v>18</v>
      </c>
      <c r="H85" s="12"/>
      <c r="I85" s="8">
        <v>0</v>
      </c>
    </row>
    <row r="86" spans="1:9" x14ac:dyDescent="0.3">
      <c r="A86" s="8" t="s">
        <v>53</v>
      </c>
      <c r="B86" s="9" t="s">
        <v>327</v>
      </c>
      <c r="C86" s="9" t="s">
        <v>190</v>
      </c>
      <c r="D86" s="9"/>
      <c r="E86" s="12" t="s">
        <v>330</v>
      </c>
      <c r="F86" s="8" t="s">
        <v>35</v>
      </c>
      <c r="G86" s="19" t="s">
        <v>18</v>
      </c>
      <c r="H86" s="12" t="s">
        <v>176</v>
      </c>
      <c r="I86" s="8">
        <v>0</v>
      </c>
    </row>
    <row r="87" spans="1:9" x14ac:dyDescent="0.3">
      <c r="A87" s="8" t="s">
        <v>53</v>
      </c>
      <c r="B87" s="9" t="s">
        <v>327</v>
      </c>
      <c r="C87" s="9" t="s">
        <v>331</v>
      </c>
      <c r="D87" s="9"/>
      <c r="E87" s="12" t="s">
        <v>332</v>
      </c>
      <c r="F87" s="8" t="s">
        <v>35</v>
      </c>
      <c r="G87" s="19" t="s">
        <v>18</v>
      </c>
      <c r="H87" s="12" t="s">
        <v>176</v>
      </c>
      <c r="I87" s="8">
        <v>0</v>
      </c>
    </row>
    <row r="88" spans="1:9" x14ac:dyDescent="0.3">
      <c r="A88" s="8" t="s">
        <v>53</v>
      </c>
      <c r="B88" s="9" t="s">
        <v>277</v>
      </c>
      <c r="C88" s="9" t="s">
        <v>177</v>
      </c>
      <c r="D88" s="9"/>
      <c r="E88" s="12" t="s">
        <v>333</v>
      </c>
      <c r="F88" s="8" t="s">
        <v>35</v>
      </c>
      <c r="G88" s="19" t="s">
        <v>18</v>
      </c>
      <c r="H88" s="12" t="s">
        <v>176</v>
      </c>
      <c r="I88" s="8">
        <v>1</v>
      </c>
    </row>
    <row r="89" spans="1:9" x14ac:dyDescent="0.3">
      <c r="A89" s="8" t="s">
        <v>53</v>
      </c>
      <c r="B89" s="9" t="s">
        <v>277</v>
      </c>
      <c r="C89" s="9" t="s">
        <v>282</v>
      </c>
      <c r="D89" s="9"/>
      <c r="E89" s="12" t="s">
        <v>334</v>
      </c>
      <c r="F89" s="8" t="s">
        <v>35</v>
      </c>
      <c r="G89" s="19" t="s">
        <v>18</v>
      </c>
      <c r="H89" s="12"/>
      <c r="I89" s="8">
        <v>0</v>
      </c>
    </row>
    <row r="90" spans="1:9" x14ac:dyDescent="0.3">
      <c r="A90" s="8" t="s">
        <v>53</v>
      </c>
      <c r="B90" s="9" t="s">
        <v>277</v>
      </c>
      <c r="C90" s="9" t="s">
        <v>278</v>
      </c>
      <c r="D90" s="9"/>
      <c r="E90" s="12" t="s">
        <v>335</v>
      </c>
      <c r="F90" s="8" t="s">
        <v>35</v>
      </c>
      <c r="G90" s="19" t="s">
        <v>18</v>
      </c>
      <c r="H90" s="12"/>
      <c r="I90" s="8">
        <v>0</v>
      </c>
    </row>
    <row r="91" spans="1:9" x14ac:dyDescent="0.3">
      <c r="A91" s="8" t="s">
        <v>53</v>
      </c>
      <c r="B91" s="9" t="s">
        <v>277</v>
      </c>
      <c r="C91" s="9" t="s">
        <v>284</v>
      </c>
      <c r="D91" s="9" t="s">
        <v>284</v>
      </c>
      <c r="E91" s="12" t="s">
        <v>336</v>
      </c>
      <c r="F91" s="8" t="s">
        <v>31</v>
      </c>
      <c r="G91" s="19" t="s">
        <v>18</v>
      </c>
      <c r="H91" s="12" t="s">
        <v>166</v>
      </c>
      <c r="I91" s="8">
        <v>0</v>
      </c>
    </row>
    <row r="92" spans="1:9" x14ac:dyDescent="0.3">
      <c r="A92" s="8" t="s">
        <v>53</v>
      </c>
      <c r="B92" s="9" t="s">
        <v>337</v>
      </c>
      <c r="C92" s="9" t="s">
        <v>338</v>
      </c>
      <c r="D92" s="9"/>
      <c r="E92" s="12" t="s">
        <v>339</v>
      </c>
      <c r="F92" s="8" t="s">
        <v>35</v>
      </c>
      <c r="G92" s="19" t="s">
        <v>18</v>
      </c>
      <c r="H92" s="12" t="s">
        <v>176</v>
      </c>
      <c r="I92" s="8">
        <v>1</v>
      </c>
    </row>
    <row r="93" spans="1:9" x14ac:dyDescent="0.3">
      <c r="A93" s="8" t="s">
        <v>53</v>
      </c>
      <c r="B93" s="9" t="s">
        <v>337</v>
      </c>
      <c r="C93" s="9" t="s">
        <v>202</v>
      </c>
      <c r="D93" s="9"/>
      <c r="E93" s="12" t="s">
        <v>340</v>
      </c>
      <c r="F93" s="8" t="s">
        <v>35</v>
      </c>
      <c r="G93" s="19" t="s">
        <v>18</v>
      </c>
      <c r="H93" s="12"/>
      <c r="I93" s="8">
        <v>0</v>
      </c>
    </row>
    <row r="94" spans="1:9" x14ac:dyDescent="0.3">
      <c r="A94" s="8" t="s">
        <v>53</v>
      </c>
      <c r="B94" s="9" t="s">
        <v>337</v>
      </c>
      <c r="C94" s="9" t="s">
        <v>286</v>
      </c>
      <c r="D94" s="9"/>
      <c r="E94" s="12" t="s">
        <v>341</v>
      </c>
      <c r="F94" s="8" t="s">
        <v>35</v>
      </c>
      <c r="G94" s="19" t="s">
        <v>18</v>
      </c>
      <c r="H94" s="12"/>
      <c r="I94" s="8">
        <v>0</v>
      </c>
    </row>
    <row r="95" spans="1:9" x14ac:dyDescent="0.3">
      <c r="A95" s="8" t="s">
        <v>53</v>
      </c>
      <c r="B95" s="9" t="s">
        <v>170</v>
      </c>
      <c r="C95" s="9" t="s">
        <v>171</v>
      </c>
      <c r="D95" s="9"/>
      <c r="E95" s="12" t="s">
        <v>342</v>
      </c>
      <c r="F95" s="8" t="s">
        <v>35</v>
      </c>
      <c r="G95" s="19" t="s">
        <v>18</v>
      </c>
      <c r="H95" s="12"/>
      <c r="I95" s="8">
        <v>1</v>
      </c>
    </row>
    <row r="96" spans="1:9" x14ac:dyDescent="0.3">
      <c r="A96" s="8" t="s">
        <v>53</v>
      </c>
      <c r="B96" s="9" t="s">
        <v>170</v>
      </c>
      <c r="C96" s="9" t="s">
        <v>97</v>
      </c>
      <c r="D96" s="9"/>
      <c r="E96" s="12" t="s">
        <v>343</v>
      </c>
      <c r="F96" s="8" t="s">
        <v>35</v>
      </c>
      <c r="G96" s="19" t="s">
        <v>18</v>
      </c>
      <c r="H96" s="12"/>
      <c r="I96" s="8">
        <v>0</v>
      </c>
    </row>
    <row r="97" spans="1:9" x14ac:dyDescent="0.3">
      <c r="A97" s="8" t="s">
        <v>53</v>
      </c>
      <c r="B97" s="9" t="s">
        <v>170</v>
      </c>
      <c r="C97" s="9" t="s">
        <v>196</v>
      </c>
      <c r="D97" s="9"/>
      <c r="E97" s="12" t="s">
        <v>344</v>
      </c>
      <c r="F97" s="8" t="s">
        <v>31</v>
      </c>
      <c r="G97" s="19" t="s">
        <v>18</v>
      </c>
      <c r="H97" s="12"/>
      <c r="I97" s="8">
        <v>0</v>
      </c>
    </row>
    <row r="98" spans="1:9" x14ac:dyDescent="0.3">
      <c r="A98" s="8" t="s">
        <v>53</v>
      </c>
      <c r="B98" s="9" t="s">
        <v>170</v>
      </c>
      <c r="C98" s="9" t="s">
        <v>177</v>
      </c>
      <c r="D98" s="9"/>
      <c r="E98" s="12" t="s">
        <v>345</v>
      </c>
      <c r="F98" s="8" t="s">
        <v>35</v>
      </c>
      <c r="G98" s="19" t="s">
        <v>18</v>
      </c>
      <c r="H98" s="12" t="s">
        <v>176</v>
      </c>
      <c r="I98" s="8">
        <v>0</v>
      </c>
    </row>
    <row r="99" spans="1:9" x14ac:dyDescent="0.3">
      <c r="A99" s="8" t="s">
        <v>53</v>
      </c>
      <c r="B99" s="9" t="s">
        <v>170</v>
      </c>
      <c r="C99" s="9" t="s">
        <v>179</v>
      </c>
      <c r="D99" s="9"/>
      <c r="E99" s="12" t="s">
        <v>346</v>
      </c>
      <c r="F99" s="8" t="s">
        <v>31</v>
      </c>
      <c r="G99" s="19" t="s">
        <v>18</v>
      </c>
      <c r="H99" s="12"/>
      <c r="I99" s="8">
        <v>0</v>
      </c>
    </row>
    <row r="100" spans="1:9" x14ac:dyDescent="0.3">
      <c r="A100" s="8" t="s">
        <v>53</v>
      </c>
      <c r="B100" s="9" t="s">
        <v>170</v>
      </c>
      <c r="C100" s="9" t="s">
        <v>181</v>
      </c>
      <c r="D100" s="9"/>
      <c r="E100" s="12" t="s">
        <v>347</v>
      </c>
      <c r="F100" s="8" t="s">
        <v>35</v>
      </c>
      <c r="G100" s="19" t="s">
        <v>18</v>
      </c>
      <c r="H100" s="12"/>
      <c r="I100" s="8">
        <v>0</v>
      </c>
    </row>
    <row r="101" spans="1:9" x14ac:dyDescent="0.3">
      <c r="A101" s="8" t="s">
        <v>53</v>
      </c>
      <c r="B101" s="9" t="s">
        <v>170</v>
      </c>
      <c r="C101" s="9" t="s">
        <v>174</v>
      </c>
      <c r="D101" s="9"/>
      <c r="E101" s="12" t="s">
        <v>348</v>
      </c>
      <c r="F101" s="8" t="s">
        <v>33</v>
      </c>
      <c r="G101" s="20" t="s">
        <v>22</v>
      </c>
      <c r="H101" s="12"/>
      <c r="I101" s="8">
        <v>0</v>
      </c>
    </row>
    <row r="102" spans="1:9" x14ac:dyDescent="0.3">
      <c r="A102" s="8" t="s">
        <v>53</v>
      </c>
      <c r="B102" s="9" t="s">
        <v>204</v>
      </c>
      <c r="C102" s="9" t="s">
        <v>205</v>
      </c>
      <c r="D102" s="9"/>
      <c r="E102" s="12" t="s">
        <v>349</v>
      </c>
      <c r="F102" s="8" t="s">
        <v>35</v>
      </c>
      <c r="G102" s="19" t="s">
        <v>18</v>
      </c>
      <c r="H102" s="12" t="s">
        <v>176</v>
      </c>
      <c r="I102" s="8">
        <v>1</v>
      </c>
    </row>
    <row r="103" spans="1:9" x14ac:dyDescent="0.3">
      <c r="A103" s="8" t="s">
        <v>53</v>
      </c>
      <c r="B103" s="9" t="s">
        <v>204</v>
      </c>
      <c r="C103" s="9" t="s">
        <v>207</v>
      </c>
      <c r="D103" s="9"/>
      <c r="E103" s="12" t="s">
        <v>350</v>
      </c>
      <c r="F103" s="8" t="s">
        <v>35</v>
      </c>
      <c r="G103" s="19" t="s">
        <v>18</v>
      </c>
      <c r="H103" s="12"/>
      <c r="I103" s="8">
        <v>0</v>
      </c>
    </row>
    <row r="104" spans="1:9" x14ac:dyDescent="0.3">
      <c r="A104" s="8" t="s">
        <v>53</v>
      </c>
      <c r="B104" s="9" t="s">
        <v>204</v>
      </c>
      <c r="C104" s="9" t="s">
        <v>209</v>
      </c>
      <c r="D104" s="9"/>
      <c r="E104" s="12" t="s">
        <v>351</v>
      </c>
      <c r="F104" s="8" t="s">
        <v>35</v>
      </c>
      <c r="G104" s="19" t="s">
        <v>18</v>
      </c>
      <c r="H104" s="12"/>
      <c r="I104" s="8">
        <v>0</v>
      </c>
    </row>
    <row r="105" spans="1:9" x14ac:dyDescent="0.3">
      <c r="A105" s="8" t="s">
        <v>53</v>
      </c>
      <c r="B105" s="9" t="s">
        <v>204</v>
      </c>
      <c r="C105" s="9" t="s">
        <v>196</v>
      </c>
      <c r="D105" s="9"/>
      <c r="E105" s="12" t="s">
        <v>352</v>
      </c>
      <c r="F105" s="8" t="s">
        <v>31</v>
      </c>
      <c r="G105" s="19" t="s">
        <v>18</v>
      </c>
      <c r="H105" s="12"/>
      <c r="I105" s="8">
        <v>0</v>
      </c>
    </row>
    <row r="106" spans="1:9" x14ac:dyDescent="0.3">
      <c r="A106" s="8" t="s">
        <v>53</v>
      </c>
      <c r="B106" s="9" t="s">
        <v>204</v>
      </c>
      <c r="C106" s="9" t="s">
        <v>211</v>
      </c>
      <c r="D106" s="9"/>
      <c r="E106" s="12" t="s">
        <v>353</v>
      </c>
      <c r="F106" s="8" t="s">
        <v>35</v>
      </c>
      <c r="G106" s="19" t="s">
        <v>18</v>
      </c>
      <c r="H106" s="12"/>
      <c r="I106" s="8">
        <v>0</v>
      </c>
    </row>
    <row r="107" spans="1:9" x14ac:dyDescent="0.3">
      <c r="A107" s="8" t="s">
        <v>53</v>
      </c>
      <c r="B107" s="9" t="s">
        <v>204</v>
      </c>
      <c r="C107" s="9" t="s">
        <v>213</v>
      </c>
      <c r="D107" s="9"/>
      <c r="E107" s="12" t="s">
        <v>354</v>
      </c>
      <c r="F107" s="8" t="s">
        <v>35</v>
      </c>
      <c r="G107" s="19" t="s">
        <v>18</v>
      </c>
      <c r="H107" s="12" t="s">
        <v>176</v>
      </c>
      <c r="I107" s="8">
        <v>0</v>
      </c>
    </row>
    <row r="108" spans="1:9" x14ac:dyDescent="0.3">
      <c r="A108" s="8" t="s">
        <v>53</v>
      </c>
      <c r="B108" s="9" t="s">
        <v>355</v>
      </c>
      <c r="C108" s="9" t="s">
        <v>356</v>
      </c>
      <c r="D108" s="9"/>
      <c r="E108" s="12" t="s">
        <v>357</v>
      </c>
      <c r="F108" s="8" t="s">
        <v>35</v>
      </c>
      <c r="G108" s="19" t="s">
        <v>18</v>
      </c>
      <c r="H108" s="12"/>
      <c r="I108" s="8">
        <v>1</v>
      </c>
    </row>
    <row r="109" spans="1:9" x14ac:dyDescent="0.3">
      <c r="A109" s="8" t="s">
        <v>53</v>
      </c>
      <c r="B109" s="9" t="s">
        <v>355</v>
      </c>
      <c r="C109" s="9" t="s">
        <v>358</v>
      </c>
      <c r="D109" s="9"/>
      <c r="E109" s="12" t="s">
        <v>359</v>
      </c>
      <c r="F109" s="8" t="s">
        <v>35</v>
      </c>
      <c r="G109" s="19" t="s">
        <v>18</v>
      </c>
      <c r="H109" s="12"/>
      <c r="I109" s="8">
        <v>0</v>
      </c>
    </row>
    <row r="110" spans="1:9" x14ac:dyDescent="0.3">
      <c r="A110" s="8" t="s">
        <v>53</v>
      </c>
      <c r="B110" s="9" t="s">
        <v>224</v>
      </c>
      <c r="C110" s="9" t="s">
        <v>220</v>
      </c>
      <c r="D110" s="9"/>
      <c r="E110" s="12" t="s">
        <v>360</v>
      </c>
      <c r="F110" s="8" t="s">
        <v>35</v>
      </c>
      <c r="G110" s="19" t="s">
        <v>18</v>
      </c>
      <c r="H110" s="12"/>
      <c r="I110" s="8">
        <v>1</v>
      </c>
    </row>
    <row r="111" spans="1:9" ht="39.6" x14ac:dyDescent="0.3">
      <c r="A111" s="8" t="s">
        <v>53</v>
      </c>
      <c r="B111" s="9" t="s">
        <v>224</v>
      </c>
      <c r="C111" s="9" t="s">
        <v>226</v>
      </c>
      <c r="D111" s="9"/>
      <c r="E111" s="12" t="s">
        <v>361</v>
      </c>
      <c r="F111" s="8" t="s">
        <v>31</v>
      </c>
      <c r="G111" s="19" t="s">
        <v>18</v>
      </c>
      <c r="H111" s="12" t="s">
        <v>362</v>
      </c>
      <c r="I111" s="8">
        <v>0</v>
      </c>
    </row>
    <row r="112" spans="1:9" x14ac:dyDescent="0.3">
      <c r="A112" s="8" t="s">
        <v>53</v>
      </c>
      <c r="B112" s="9" t="s">
        <v>185</v>
      </c>
      <c r="C112" s="9" t="s">
        <v>186</v>
      </c>
      <c r="D112" s="9"/>
      <c r="E112" s="12" t="s">
        <v>363</v>
      </c>
      <c r="F112" s="8" t="s">
        <v>35</v>
      </c>
      <c r="G112" s="19" t="s">
        <v>18</v>
      </c>
      <c r="H112" s="12"/>
      <c r="I112" s="8">
        <v>1</v>
      </c>
    </row>
    <row r="113" spans="1:9" x14ac:dyDescent="0.3">
      <c r="A113" s="8" t="s">
        <v>53</v>
      </c>
      <c r="B113" s="9" t="s">
        <v>185</v>
      </c>
      <c r="C113" s="9" t="s">
        <v>97</v>
      </c>
      <c r="D113" s="9"/>
      <c r="E113" s="12" t="s">
        <v>364</v>
      </c>
      <c r="F113" s="8" t="s">
        <v>35</v>
      </c>
      <c r="G113" s="19" t="s">
        <v>18</v>
      </c>
      <c r="H113" s="12"/>
      <c r="I113" s="8">
        <v>0</v>
      </c>
    </row>
    <row r="114" spans="1:9" x14ac:dyDescent="0.3">
      <c r="A114" s="8" t="s">
        <v>53</v>
      </c>
      <c r="B114" s="9" t="s">
        <v>185</v>
      </c>
      <c r="C114" s="9" t="s">
        <v>194</v>
      </c>
      <c r="D114" s="9"/>
      <c r="E114" s="12" t="s">
        <v>365</v>
      </c>
      <c r="F114" s="8" t="s">
        <v>35</v>
      </c>
      <c r="G114" s="19" t="s">
        <v>18</v>
      </c>
      <c r="H114" s="12" t="s">
        <v>176</v>
      </c>
      <c r="I114" s="8">
        <v>0</v>
      </c>
    </row>
    <row r="115" spans="1:9" x14ac:dyDescent="0.3">
      <c r="A115" s="8" t="s">
        <v>53</v>
      </c>
      <c r="B115" s="9" t="s">
        <v>185</v>
      </c>
      <c r="C115" s="9" t="s">
        <v>366</v>
      </c>
      <c r="D115" s="9"/>
      <c r="E115" s="12" t="s">
        <v>367</v>
      </c>
      <c r="F115" s="8" t="s">
        <v>35</v>
      </c>
      <c r="G115" s="19" t="s">
        <v>18</v>
      </c>
      <c r="H115" s="12"/>
      <c r="I115" s="8">
        <v>0</v>
      </c>
    </row>
    <row r="116" spans="1:9" x14ac:dyDescent="0.3">
      <c r="A116" s="8" t="s">
        <v>53</v>
      </c>
      <c r="B116" s="9" t="s">
        <v>229</v>
      </c>
      <c r="C116" s="9" t="s">
        <v>174</v>
      </c>
      <c r="D116" s="9"/>
      <c r="E116" s="12" t="s">
        <v>368</v>
      </c>
      <c r="F116" s="8" t="s">
        <v>35</v>
      </c>
      <c r="G116" s="21" t="s">
        <v>20</v>
      </c>
      <c r="H116" s="12" t="s">
        <v>369</v>
      </c>
      <c r="I116" s="8">
        <v>1</v>
      </c>
    </row>
    <row r="117" spans="1:9" x14ac:dyDescent="0.3">
      <c r="A117" s="8" t="s">
        <v>53</v>
      </c>
      <c r="B117" s="9" t="s">
        <v>229</v>
      </c>
      <c r="C117" s="9" t="s">
        <v>202</v>
      </c>
      <c r="D117" s="9"/>
      <c r="E117" s="12" t="s">
        <v>233</v>
      </c>
      <c r="F117" s="8" t="s">
        <v>35</v>
      </c>
      <c r="G117" s="21" t="s">
        <v>20</v>
      </c>
      <c r="H117" s="12" t="s">
        <v>370</v>
      </c>
      <c r="I117" s="8">
        <v>0</v>
      </c>
    </row>
    <row r="118" spans="1:9" x14ac:dyDescent="0.3">
      <c r="A118" s="8" t="s">
        <v>53</v>
      </c>
      <c r="B118" s="9" t="s">
        <v>229</v>
      </c>
      <c r="C118" s="9" t="s">
        <v>171</v>
      </c>
      <c r="D118" s="9"/>
      <c r="E118" s="12" t="s">
        <v>371</v>
      </c>
      <c r="F118" s="8" t="s">
        <v>35</v>
      </c>
      <c r="G118" s="21" t="s">
        <v>20</v>
      </c>
      <c r="H118" s="12" t="s">
        <v>372</v>
      </c>
      <c r="I118" s="8">
        <v>0</v>
      </c>
    </row>
    <row r="119" spans="1:9" x14ac:dyDescent="0.3">
      <c r="A119" s="8" t="s">
        <v>53</v>
      </c>
      <c r="B119" s="9" t="s">
        <v>229</v>
      </c>
      <c r="C119" s="9" t="s">
        <v>97</v>
      </c>
      <c r="D119" s="9"/>
      <c r="E119" s="12" t="s">
        <v>373</v>
      </c>
      <c r="F119" s="8" t="s">
        <v>33</v>
      </c>
      <c r="G119" s="20" t="s">
        <v>22</v>
      </c>
      <c r="H119" s="12"/>
      <c r="I119" s="8">
        <v>0</v>
      </c>
    </row>
    <row r="120" spans="1:9" x14ac:dyDescent="0.3">
      <c r="A120" s="8" t="s">
        <v>53</v>
      </c>
      <c r="B120" s="9" t="s">
        <v>374</v>
      </c>
      <c r="C120" s="9" t="s">
        <v>266</v>
      </c>
      <c r="D120" s="9"/>
      <c r="E120" s="12" t="s">
        <v>375</v>
      </c>
      <c r="F120" s="8" t="s">
        <v>31</v>
      </c>
      <c r="G120" s="19" t="s">
        <v>18</v>
      </c>
      <c r="H120" s="12" t="s">
        <v>268</v>
      </c>
      <c r="I120" s="8">
        <v>1</v>
      </c>
    </row>
    <row r="121" spans="1:9" x14ac:dyDescent="0.3">
      <c r="A121" s="8" t="s">
        <v>53</v>
      </c>
      <c r="B121" s="9" t="s">
        <v>305</v>
      </c>
      <c r="C121" s="9" t="s">
        <v>300</v>
      </c>
      <c r="D121" s="9"/>
      <c r="E121" s="12" t="s">
        <v>376</v>
      </c>
      <c r="F121" s="8" t="s">
        <v>35</v>
      </c>
      <c r="G121" s="19" t="s">
        <v>18</v>
      </c>
      <c r="H121" s="12"/>
      <c r="I121" s="8">
        <v>1</v>
      </c>
    </row>
    <row r="122" spans="1:9" x14ac:dyDescent="0.3">
      <c r="A122" s="8" t="s">
        <v>53</v>
      </c>
      <c r="B122" s="9" t="s">
        <v>377</v>
      </c>
      <c r="C122" s="9" t="s">
        <v>300</v>
      </c>
      <c r="D122" s="9"/>
      <c r="E122" s="12" t="s">
        <v>378</v>
      </c>
      <c r="F122" s="8" t="s">
        <v>35</v>
      </c>
      <c r="G122" s="19" t="s">
        <v>18</v>
      </c>
      <c r="H122" s="12"/>
      <c r="I122" s="8">
        <v>1</v>
      </c>
    </row>
    <row r="123" spans="1:9" x14ac:dyDescent="0.3">
      <c r="A123" s="8" t="s">
        <v>53</v>
      </c>
      <c r="B123" s="9" t="s">
        <v>379</v>
      </c>
      <c r="C123" s="9" t="s">
        <v>380</v>
      </c>
      <c r="D123" s="9"/>
      <c r="E123" s="12" t="s">
        <v>381</v>
      </c>
      <c r="F123" s="8" t="s">
        <v>31</v>
      </c>
      <c r="G123" s="19" t="s">
        <v>18</v>
      </c>
      <c r="H123" s="12"/>
      <c r="I123" s="8">
        <v>1</v>
      </c>
    </row>
    <row r="124" spans="1:9" x14ac:dyDescent="0.3">
      <c r="A124" s="8" t="s">
        <v>53</v>
      </c>
      <c r="B124" s="9" t="s">
        <v>379</v>
      </c>
      <c r="C124" s="9" t="s">
        <v>382</v>
      </c>
      <c r="D124" s="9"/>
      <c r="E124" s="12" t="s">
        <v>383</v>
      </c>
      <c r="F124" s="8" t="s">
        <v>31</v>
      </c>
      <c r="G124" s="19" t="s">
        <v>18</v>
      </c>
      <c r="H124" s="12" t="s">
        <v>176</v>
      </c>
      <c r="I124" s="8">
        <v>0</v>
      </c>
    </row>
    <row r="125" spans="1:9" x14ac:dyDescent="0.3">
      <c r="A125" s="8" t="s">
        <v>53</v>
      </c>
      <c r="B125" s="9" t="s">
        <v>309</v>
      </c>
      <c r="C125" s="9" t="s">
        <v>310</v>
      </c>
      <c r="D125" s="9"/>
      <c r="E125" s="12" t="s">
        <v>384</v>
      </c>
      <c r="F125" s="8" t="s">
        <v>35</v>
      </c>
      <c r="G125" s="19" t="s">
        <v>18</v>
      </c>
      <c r="H125" s="12"/>
      <c r="I125" s="8">
        <v>1</v>
      </c>
    </row>
    <row r="126" spans="1:9" x14ac:dyDescent="0.3">
      <c r="A126" s="8" t="s">
        <v>53</v>
      </c>
      <c r="B126" s="9" t="s">
        <v>309</v>
      </c>
      <c r="C126" s="9" t="s">
        <v>319</v>
      </c>
      <c r="D126" s="9"/>
      <c r="E126" s="12" t="s">
        <v>385</v>
      </c>
      <c r="F126" s="8" t="s">
        <v>35</v>
      </c>
      <c r="G126" s="19" t="s">
        <v>18</v>
      </c>
      <c r="H126" s="12"/>
      <c r="I126" s="8">
        <v>0</v>
      </c>
    </row>
    <row r="127" spans="1:9" x14ac:dyDescent="0.3">
      <c r="A127" s="8" t="s">
        <v>53</v>
      </c>
      <c r="B127" s="9" t="s">
        <v>309</v>
      </c>
      <c r="C127" s="9" t="s">
        <v>321</v>
      </c>
      <c r="D127" s="9"/>
      <c r="E127" s="12" t="s">
        <v>386</v>
      </c>
      <c r="F127" s="8" t="s">
        <v>35</v>
      </c>
      <c r="G127" s="19" t="s">
        <v>18</v>
      </c>
      <c r="H127" s="12"/>
      <c r="I127" s="8">
        <v>0</v>
      </c>
    </row>
    <row r="128" spans="1:9" x14ac:dyDescent="0.3">
      <c r="A128" s="8" t="s">
        <v>53</v>
      </c>
      <c r="B128" s="9" t="s">
        <v>387</v>
      </c>
      <c r="C128" s="9" t="s">
        <v>310</v>
      </c>
      <c r="D128" s="9"/>
      <c r="E128" s="12" t="s">
        <v>388</v>
      </c>
      <c r="F128" s="8" t="s">
        <v>35</v>
      </c>
      <c r="G128" s="19" t="s">
        <v>18</v>
      </c>
      <c r="H128" s="12"/>
      <c r="I128" s="8">
        <v>1</v>
      </c>
    </row>
    <row r="129" spans="1:9" x14ac:dyDescent="0.3">
      <c r="A129" s="8" t="s">
        <v>53</v>
      </c>
      <c r="B129" s="9" t="s">
        <v>387</v>
      </c>
      <c r="C129" s="9" t="s">
        <v>319</v>
      </c>
      <c r="D129" s="9"/>
      <c r="E129" s="12" t="s">
        <v>385</v>
      </c>
      <c r="F129" s="8" t="s">
        <v>35</v>
      </c>
      <c r="G129" s="19" t="s">
        <v>18</v>
      </c>
      <c r="H129" s="12"/>
      <c r="I129" s="8">
        <v>0</v>
      </c>
    </row>
    <row r="130" spans="1:9" x14ac:dyDescent="0.3">
      <c r="A130" s="8" t="s">
        <v>53</v>
      </c>
      <c r="B130" s="9" t="s">
        <v>387</v>
      </c>
      <c r="C130" s="9" t="s">
        <v>321</v>
      </c>
      <c r="D130" s="9"/>
      <c r="E130" s="12" t="s">
        <v>386</v>
      </c>
      <c r="F130" s="8" t="s">
        <v>35</v>
      </c>
      <c r="G130" s="19" t="s">
        <v>18</v>
      </c>
      <c r="H130" s="12"/>
      <c r="I130" s="8">
        <v>0</v>
      </c>
    </row>
    <row r="131" spans="1:9" x14ac:dyDescent="0.3">
      <c r="A131" s="8" t="s">
        <v>53</v>
      </c>
      <c r="B131" s="9" t="s">
        <v>389</v>
      </c>
      <c r="C131" s="9" t="s">
        <v>300</v>
      </c>
      <c r="D131" s="9"/>
      <c r="E131" s="12" t="s">
        <v>390</v>
      </c>
      <c r="F131" s="8" t="s">
        <v>35</v>
      </c>
      <c r="G131" s="19" t="s">
        <v>18</v>
      </c>
      <c r="H131" s="12"/>
      <c r="I131" s="8">
        <v>1</v>
      </c>
    </row>
    <row r="132" spans="1:9" x14ac:dyDescent="0.3">
      <c r="A132" s="8" t="s">
        <v>53</v>
      </c>
      <c r="B132" s="9" t="s">
        <v>299</v>
      </c>
      <c r="C132" s="9" t="s">
        <v>300</v>
      </c>
      <c r="D132" s="9"/>
      <c r="E132" s="12" t="s">
        <v>391</v>
      </c>
      <c r="F132" s="8" t="s">
        <v>35</v>
      </c>
      <c r="G132" s="19" t="s">
        <v>18</v>
      </c>
      <c r="H132" s="12"/>
      <c r="I132" s="8">
        <v>1</v>
      </c>
    </row>
    <row r="133" spans="1:9" x14ac:dyDescent="0.3">
      <c r="A133" s="8" t="s">
        <v>58</v>
      </c>
      <c r="B133" s="9" t="s">
        <v>392</v>
      </c>
      <c r="C133" s="9" t="s">
        <v>393</v>
      </c>
      <c r="D133" s="9"/>
      <c r="E133" s="12" t="s">
        <v>394</v>
      </c>
      <c r="F133" s="8" t="s">
        <v>35</v>
      </c>
      <c r="G133" s="19" t="s">
        <v>18</v>
      </c>
      <c r="H133" s="12"/>
      <c r="I133" s="8">
        <v>1</v>
      </c>
    </row>
    <row r="134" spans="1:9" x14ac:dyDescent="0.3">
      <c r="A134" s="8" t="s">
        <v>58</v>
      </c>
      <c r="B134" s="9" t="s">
        <v>392</v>
      </c>
      <c r="C134" s="9" t="s">
        <v>171</v>
      </c>
      <c r="D134" s="9"/>
      <c r="E134" s="12" t="s">
        <v>395</v>
      </c>
      <c r="F134" s="8" t="s">
        <v>35</v>
      </c>
      <c r="G134" s="19" t="s">
        <v>18</v>
      </c>
      <c r="H134" s="12"/>
      <c r="I134" s="8">
        <v>0</v>
      </c>
    </row>
    <row r="135" spans="1:9" x14ac:dyDescent="0.3">
      <c r="A135" s="8" t="s">
        <v>58</v>
      </c>
      <c r="B135" s="9" t="s">
        <v>392</v>
      </c>
      <c r="C135" s="9" t="s">
        <v>396</v>
      </c>
      <c r="D135" s="9"/>
      <c r="E135" s="12" t="s">
        <v>397</v>
      </c>
      <c r="F135" s="8" t="s">
        <v>33</v>
      </c>
      <c r="G135" s="36" t="s">
        <v>18</v>
      </c>
      <c r="H135" s="12" t="s">
        <v>398</v>
      </c>
      <c r="I135" s="8">
        <v>0</v>
      </c>
    </row>
    <row r="136" spans="1:9" ht="26.4" x14ac:dyDescent="0.3">
      <c r="A136" s="8" t="s">
        <v>58</v>
      </c>
      <c r="B136" s="9" t="s">
        <v>392</v>
      </c>
      <c r="C136" s="8" t="s">
        <v>174</v>
      </c>
      <c r="D136" s="9"/>
      <c r="E136" s="12" t="s">
        <v>397</v>
      </c>
      <c r="F136" s="8" t="s">
        <v>33</v>
      </c>
      <c r="G136" s="36" t="s">
        <v>18</v>
      </c>
      <c r="H136" s="12" t="s">
        <v>399</v>
      </c>
      <c r="I136" s="8">
        <v>0</v>
      </c>
    </row>
    <row r="137" spans="1:9" x14ac:dyDescent="0.3">
      <c r="A137" s="8" t="s">
        <v>58</v>
      </c>
      <c r="B137" s="9" t="s">
        <v>400</v>
      </c>
      <c r="C137" s="9" t="s">
        <v>97</v>
      </c>
      <c r="D137" s="9"/>
      <c r="E137" s="12" t="s">
        <v>401</v>
      </c>
      <c r="F137" s="8" t="s">
        <v>35</v>
      </c>
      <c r="G137" s="19" t="s">
        <v>18</v>
      </c>
      <c r="H137" s="12"/>
      <c r="I137" s="8">
        <v>1</v>
      </c>
    </row>
    <row r="138" spans="1:9" ht="26.4" x14ac:dyDescent="0.3">
      <c r="A138" s="8" t="s">
        <v>58</v>
      </c>
      <c r="B138" s="9" t="s">
        <v>400</v>
      </c>
      <c r="C138" s="8" t="s">
        <v>402</v>
      </c>
      <c r="D138" s="9"/>
      <c r="E138" s="12" t="s">
        <v>403</v>
      </c>
      <c r="F138" s="8" t="s">
        <v>35</v>
      </c>
      <c r="G138" s="36" t="s">
        <v>18</v>
      </c>
      <c r="H138" s="12" t="s">
        <v>404</v>
      </c>
      <c r="I138" s="8">
        <v>0</v>
      </c>
    </row>
    <row r="139" spans="1:9" x14ac:dyDescent="0.3">
      <c r="A139" s="8" t="s">
        <v>58</v>
      </c>
      <c r="B139" s="9" t="s">
        <v>400</v>
      </c>
      <c r="C139" s="9" t="s">
        <v>171</v>
      </c>
      <c r="D139" s="9"/>
      <c r="E139" s="12" t="s">
        <v>405</v>
      </c>
      <c r="F139" s="8" t="s">
        <v>33</v>
      </c>
      <c r="G139" s="36" t="s">
        <v>18</v>
      </c>
      <c r="H139" s="12" t="s">
        <v>398</v>
      </c>
      <c r="I139" s="8">
        <v>0</v>
      </c>
    </row>
    <row r="140" spans="1:9" ht="26.4" x14ac:dyDescent="0.3">
      <c r="A140" s="8" t="s">
        <v>58</v>
      </c>
      <c r="B140" s="9" t="s">
        <v>400</v>
      </c>
      <c r="C140" s="8" t="s">
        <v>393</v>
      </c>
      <c r="D140" s="9"/>
      <c r="E140" s="12" t="s">
        <v>405</v>
      </c>
      <c r="F140" s="8" t="s">
        <v>33</v>
      </c>
      <c r="G140" s="36" t="s">
        <v>18</v>
      </c>
      <c r="H140" s="12" t="s">
        <v>406</v>
      </c>
      <c r="I140" s="8">
        <v>0</v>
      </c>
    </row>
    <row r="141" spans="1:9" x14ac:dyDescent="0.3">
      <c r="A141" s="8" t="s">
        <v>58</v>
      </c>
      <c r="B141" s="9" t="s">
        <v>407</v>
      </c>
      <c r="C141" s="9" t="s">
        <v>408</v>
      </c>
      <c r="D141" s="9"/>
      <c r="E141" s="12" t="s">
        <v>409</v>
      </c>
      <c r="F141" s="8" t="s">
        <v>35</v>
      </c>
      <c r="G141" s="36" t="s">
        <v>18</v>
      </c>
      <c r="H141" s="12" t="s">
        <v>398</v>
      </c>
      <c r="I141" s="8">
        <v>1</v>
      </c>
    </row>
    <row r="142" spans="1:9" ht="39.6" x14ac:dyDescent="0.3">
      <c r="A142" s="8" t="s">
        <v>58</v>
      </c>
      <c r="B142" s="9" t="s">
        <v>407</v>
      </c>
      <c r="C142" s="8" t="s">
        <v>174</v>
      </c>
      <c r="D142" s="9"/>
      <c r="E142" s="12" t="s">
        <v>410</v>
      </c>
      <c r="F142" s="8" t="s">
        <v>35</v>
      </c>
      <c r="G142" s="36" t="s">
        <v>18</v>
      </c>
      <c r="H142" s="12" t="s">
        <v>411</v>
      </c>
      <c r="I142" s="8">
        <v>0</v>
      </c>
    </row>
    <row r="143" spans="1:9" x14ac:dyDescent="0.3">
      <c r="A143" s="8" t="s">
        <v>58</v>
      </c>
      <c r="B143" s="9" t="s">
        <v>407</v>
      </c>
      <c r="C143" s="9" t="s">
        <v>412</v>
      </c>
      <c r="D143" s="9"/>
      <c r="E143" s="12" t="s">
        <v>413</v>
      </c>
      <c r="F143" s="8" t="s">
        <v>35</v>
      </c>
      <c r="G143" s="36" t="s">
        <v>18</v>
      </c>
      <c r="H143" s="12" t="s">
        <v>398</v>
      </c>
      <c r="I143" s="8">
        <v>0</v>
      </c>
    </row>
    <row r="144" spans="1:9" ht="26.4" x14ac:dyDescent="0.3">
      <c r="A144" s="8" t="s">
        <v>58</v>
      </c>
      <c r="B144" s="9" t="s">
        <v>407</v>
      </c>
      <c r="C144" s="9" t="s">
        <v>174</v>
      </c>
      <c r="D144" s="9"/>
      <c r="E144" s="12" t="s">
        <v>414</v>
      </c>
      <c r="F144" s="8" t="s">
        <v>31</v>
      </c>
      <c r="G144" s="36" t="s">
        <v>18</v>
      </c>
      <c r="H144" s="12" t="s">
        <v>415</v>
      </c>
      <c r="I144" s="8">
        <v>0</v>
      </c>
    </row>
    <row r="145" spans="1:9" ht="26.4" x14ac:dyDescent="0.3">
      <c r="A145" s="8" t="s">
        <v>58</v>
      </c>
      <c r="B145" s="9" t="s">
        <v>407</v>
      </c>
      <c r="C145" s="9" t="s">
        <v>416</v>
      </c>
      <c r="D145" s="9"/>
      <c r="E145" s="12" t="s">
        <v>417</v>
      </c>
      <c r="F145" s="8" t="s">
        <v>31</v>
      </c>
      <c r="G145" s="36" t="s">
        <v>18</v>
      </c>
      <c r="H145" s="12" t="s">
        <v>398</v>
      </c>
      <c r="I145" s="8">
        <v>0</v>
      </c>
    </row>
    <row r="146" spans="1:9" x14ac:dyDescent="0.3">
      <c r="A146" s="8" t="s">
        <v>58</v>
      </c>
      <c r="B146" s="9" t="s">
        <v>407</v>
      </c>
      <c r="C146" s="9" t="s">
        <v>418</v>
      </c>
      <c r="D146" s="9"/>
      <c r="E146" s="12" t="s">
        <v>419</v>
      </c>
      <c r="F146" s="8" t="s">
        <v>33</v>
      </c>
      <c r="G146" s="36" t="s">
        <v>18</v>
      </c>
      <c r="H146" s="12" t="s">
        <v>398</v>
      </c>
      <c r="I146" s="8">
        <v>0</v>
      </c>
    </row>
    <row r="147" spans="1:9" x14ac:dyDescent="0.3">
      <c r="A147" s="8" t="s">
        <v>58</v>
      </c>
      <c r="B147" s="9" t="s">
        <v>420</v>
      </c>
      <c r="C147" s="9" t="s">
        <v>421</v>
      </c>
      <c r="D147" s="9"/>
      <c r="E147" s="12" t="s">
        <v>422</v>
      </c>
      <c r="F147" s="8" t="s">
        <v>35</v>
      </c>
      <c r="G147" s="19" t="s">
        <v>18</v>
      </c>
      <c r="H147" s="12"/>
      <c r="I147" s="8">
        <v>1</v>
      </c>
    </row>
    <row r="148" spans="1:9" x14ac:dyDescent="0.3">
      <c r="A148" s="8" t="s">
        <v>58</v>
      </c>
      <c r="B148" s="9" t="s">
        <v>420</v>
      </c>
      <c r="C148" s="9" t="s">
        <v>408</v>
      </c>
      <c r="D148" s="9"/>
      <c r="E148" s="12" t="s">
        <v>419</v>
      </c>
      <c r="F148" s="8" t="s">
        <v>33</v>
      </c>
      <c r="G148" s="36" t="s">
        <v>18</v>
      </c>
      <c r="H148" s="12" t="s">
        <v>398</v>
      </c>
      <c r="I148" s="8">
        <v>0</v>
      </c>
    </row>
    <row r="149" spans="1:9" x14ac:dyDescent="0.3">
      <c r="A149" s="8" t="s">
        <v>58</v>
      </c>
      <c r="B149" s="9" t="s">
        <v>420</v>
      </c>
      <c r="C149" s="9" t="s">
        <v>423</v>
      </c>
      <c r="D149" s="9"/>
      <c r="E149" s="12" t="s">
        <v>419</v>
      </c>
      <c r="F149" s="8" t="s">
        <v>33</v>
      </c>
      <c r="G149" s="36" t="s">
        <v>18</v>
      </c>
      <c r="H149" s="12" t="s">
        <v>398</v>
      </c>
      <c r="I149" s="8">
        <v>0</v>
      </c>
    </row>
    <row r="150" spans="1:9" x14ac:dyDescent="0.3">
      <c r="A150" s="8" t="s">
        <v>58</v>
      </c>
      <c r="B150" s="9" t="s">
        <v>424</v>
      </c>
      <c r="C150" s="9" t="s">
        <v>171</v>
      </c>
      <c r="D150" s="9"/>
      <c r="E150" s="12" t="s">
        <v>425</v>
      </c>
      <c r="F150" s="8" t="s">
        <v>35</v>
      </c>
      <c r="G150" s="19" t="s">
        <v>18</v>
      </c>
      <c r="H150" s="12"/>
      <c r="I150" s="8">
        <v>1</v>
      </c>
    </row>
    <row r="151" spans="1:9" x14ac:dyDescent="0.3">
      <c r="A151" s="8" t="s">
        <v>58</v>
      </c>
      <c r="B151" s="9" t="s">
        <v>424</v>
      </c>
      <c r="C151" s="9" t="s">
        <v>97</v>
      </c>
      <c r="D151" s="9"/>
      <c r="E151" s="12" t="s">
        <v>425</v>
      </c>
      <c r="F151" s="8" t="s">
        <v>35</v>
      </c>
      <c r="G151" s="19" t="s">
        <v>18</v>
      </c>
      <c r="H151" s="12"/>
      <c r="I151" s="8">
        <v>0</v>
      </c>
    </row>
    <row r="152" spans="1:9" x14ac:dyDescent="0.3">
      <c r="A152" s="8" t="s">
        <v>58</v>
      </c>
      <c r="B152" s="9" t="s">
        <v>424</v>
      </c>
      <c r="C152" s="9" t="s">
        <v>426</v>
      </c>
      <c r="D152" s="9"/>
      <c r="E152" s="12" t="s">
        <v>373</v>
      </c>
      <c r="F152" s="8" t="s">
        <v>33</v>
      </c>
      <c r="G152" s="19" t="s">
        <v>18</v>
      </c>
      <c r="H152" s="12" t="s">
        <v>176</v>
      </c>
      <c r="I152" s="8">
        <v>0</v>
      </c>
    </row>
    <row r="153" spans="1:9" x14ac:dyDescent="0.3">
      <c r="A153" s="8" t="s">
        <v>58</v>
      </c>
      <c r="B153" s="9" t="s">
        <v>424</v>
      </c>
      <c r="C153" s="9" t="s">
        <v>427</v>
      </c>
      <c r="D153" s="9"/>
      <c r="E153" s="12" t="s">
        <v>373</v>
      </c>
      <c r="F153" s="8" t="s">
        <v>33</v>
      </c>
      <c r="G153" s="19" t="s">
        <v>18</v>
      </c>
      <c r="H153" s="12"/>
      <c r="I153" s="8">
        <v>0</v>
      </c>
    </row>
    <row r="154" spans="1:9" x14ac:dyDescent="0.3">
      <c r="A154" s="8" t="s">
        <v>58</v>
      </c>
      <c r="B154" s="9" t="s">
        <v>428</v>
      </c>
      <c r="C154" s="9" t="s">
        <v>97</v>
      </c>
      <c r="D154" s="9"/>
      <c r="E154" s="12" t="s">
        <v>429</v>
      </c>
      <c r="F154" s="8" t="s">
        <v>35</v>
      </c>
      <c r="G154" s="21" t="s">
        <v>20</v>
      </c>
      <c r="H154" s="12"/>
      <c r="I154" s="8">
        <v>1</v>
      </c>
    </row>
    <row r="155" spans="1:9" x14ac:dyDescent="0.3">
      <c r="A155" s="8" t="s">
        <v>58</v>
      </c>
      <c r="B155" s="9" t="s">
        <v>430</v>
      </c>
      <c r="C155" s="9" t="s">
        <v>431</v>
      </c>
      <c r="D155" s="9"/>
      <c r="E155" s="12" t="s">
        <v>432</v>
      </c>
      <c r="F155" s="8" t="s">
        <v>35</v>
      </c>
      <c r="G155" s="21" t="s">
        <v>20</v>
      </c>
      <c r="H155" s="12" t="s">
        <v>433</v>
      </c>
      <c r="I155" s="8">
        <v>1</v>
      </c>
    </row>
    <row r="156" spans="1:9" x14ac:dyDescent="0.3">
      <c r="A156" s="8" t="s">
        <v>58</v>
      </c>
      <c r="B156" s="9" t="s">
        <v>430</v>
      </c>
      <c r="C156" s="9" t="s">
        <v>426</v>
      </c>
      <c r="D156" s="9"/>
      <c r="E156" s="12" t="s">
        <v>434</v>
      </c>
      <c r="F156" s="8" t="s">
        <v>33</v>
      </c>
      <c r="G156" s="21" t="s">
        <v>20</v>
      </c>
      <c r="H156" s="12" t="s">
        <v>176</v>
      </c>
      <c r="I156" s="8">
        <v>0</v>
      </c>
    </row>
    <row r="157" spans="1:9" x14ac:dyDescent="0.3">
      <c r="A157" s="8" t="s">
        <v>58</v>
      </c>
      <c r="B157" s="9" t="s">
        <v>430</v>
      </c>
      <c r="C157" s="9" t="s">
        <v>435</v>
      </c>
      <c r="D157" s="9"/>
      <c r="E157" s="12" t="s">
        <v>434</v>
      </c>
      <c r="F157" s="8" t="s">
        <v>33</v>
      </c>
      <c r="G157" s="21" t="s">
        <v>20</v>
      </c>
      <c r="H157" s="12"/>
      <c r="I157" s="8">
        <v>0</v>
      </c>
    </row>
    <row r="158" spans="1:9" x14ac:dyDescent="0.3">
      <c r="A158" s="8" t="s">
        <v>58</v>
      </c>
      <c r="B158" s="9" t="s">
        <v>430</v>
      </c>
      <c r="C158" s="9" t="s">
        <v>97</v>
      </c>
      <c r="D158" s="9"/>
      <c r="E158" s="12" t="s">
        <v>434</v>
      </c>
      <c r="F158" s="8" t="s">
        <v>33</v>
      </c>
      <c r="G158" s="21" t="s">
        <v>20</v>
      </c>
      <c r="H158" s="12"/>
      <c r="I158" s="8">
        <v>0</v>
      </c>
    </row>
    <row r="159" spans="1:9" x14ac:dyDescent="0.3">
      <c r="A159" s="8" t="s">
        <v>58</v>
      </c>
      <c r="B159" s="9" t="s">
        <v>436</v>
      </c>
      <c r="C159" s="9" t="s">
        <v>171</v>
      </c>
      <c r="D159" s="9"/>
      <c r="E159" s="12" t="s">
        <v>437</v>
      </c>
      <c r="F159" s="8" t="s">
        <v>35</v>
      </c>
      <c r="G159" s="19" t="s">
        <v>18</v>
      </c>
      <c r="H159" s="12"/>
      <c r="I159" s="8">
        <v>1</v>
      </c>
    </row>
    <row r="160" spans="1:9" x14ac:dyDescent="0.3">
      <c r="A160" s="8" t="s">
        <v>58</v>
      </c>
      <c r="B160" s="9" t="s">
        <v>436</v>
      </c>
      <c r="C160" s="9" t="s">
        <v>174</v>
      </c>
      <c r="D160" s="9"/>
      <c r="E160" s="12" t="s">
        <v>438</v>
      </c>
      <c r="F160" s="8" t="s">
        <v>33</v>
      </c>
      <c r="G160" s="19" t="s">
        <v>18</v>
      </c>
      <c r="H160" s="12" t="s">
        <v>176</v>
      </c>
      <c r="I160" s="8">
        <v>0</v>
      </c>
    </row>
    <row r="161" spans="1:9" x14ac:dyDescent="0.3">
      <c r="A161" s="8" t="s">
        <v>58</v>
      </c>
      <c r="B161" s="9" t="s">
        <v>436</v>
      </c>
      <c r="C161" s="9" t="s">
        <v>439</v>
      </c>
      <c r="D161" s="9"/>
      <c r="E161" s="12" t="s">
        <v>440</v>
      </c>
      <c r="F161" s="8" t="s">
        <v>35</v>
      </c>
      <c r="G161" s="19" t="s">
        <v>18</v>
      </c>
      <c r="H161" s="12" t="s">
        <v>176</v>
      </c>
      <c r="I161" s="8">
        <v>0</v>
      </c>
    </row>
    <row r="162" spans="1:9" x14ac:dyDescent="0.3">
      <c r="A162" s="8" t="s">
        <v>58</v>
      </c>
      <c r="B162" s="9" t="s">
        <v>436</v>
      </c>
      <c r="C162" s="9" t="s">
        <v>441</v>
      </c>
      <c r="D162" s="9"/>
      <c r="E162" s="12" t="s">
        <v>442</v>
      </c>
      <c r="F162" s="8" t="s">
        <v>35</v>
      </c>
      <c r="G162" s="19" t="s">
        <v>18</v>
      </c>
      <c r="H162" s="12"/>
      <c r="I162" s="8">
        <v>0</v>
      </c>
    </row>
    <row r="163" spans="1:9" x14ac:dyDescent="0.3">
      <c r="A163" s="8" t="s">
        <v>58</v>
      </c>
      <c r="B163" s="9" t="s">
        <v>204</v>
      </c>
      <c r="C163" s="9" t="s">
        <v>207</v>
      </c>
      <c r="D163" s="9"/>
      <c r="E163" s="12" t="s">
        <v>443</v>
      </c>
      <c r="F163" s="8" t="s">
        <v>31</v>
      </c>
      <c r="G163" s="19" t="s">
        <v>18</v>
      </c>
      <c r="H163" s="12"/>
      <c r="I163" s="8">
        <v>1</v>
      </c>
    </row>
    <row r="164" spans="1:9" ht="26.4" x14ac:dyDescent="0.3">
      <c r="A164" s="8" t="s">
        <v>58</v>
      </c>
      <c r="B164" s="9" t="s">
        <v>444</v>
      </c>
      <c r="C164" s="9" t="s">
        <v>445</v>
      </c>
      <c r="D164" s="9"/>
      <c r="E164" s="12" t="s">
        <v>446</v>
      </c>
      <c r="F164" s="8" t="s">
        <v>31</v>
      </c>
      <c r="G164" s="21" t="s">
        <v>20</v>
      </c>
      <c r="H164" s="12" t="s">
        <v>447</v>
      </c>
      <c r="I164" s="8">
        <v>1</v>
      </c>
    </row>
    <row r="165" spans="1:9" x14ac:dyDescent="0.3">
      <c r="A165" s="8" t="s">
        <v>58</v>
      </c>
      <c r="B165" s="9" t="s">
        <v>448</v>
      </c>
      <c r="C165" s="9" t="s">
        <v>426</v>
      </c>
      <c r="D165" s="9"/>
      <c r="E165" s="12" t="s">
        <v>449</v>
      </c>
      <c r="F165" s="8" t="s">
        <v>35</v>
      </c>
      <c r="G165" s="21" t="s">
        <v>20</v>
      </c>
      <c r="H165" s="12"/>
      <c r="I165" s="8">
        <v>1</v>
      </c>
    </row>
    <row r="166" spans="1:9" x14ac:dyDescent="0.3">
      <c r="A166" s="8" t="s">
        <v>58</v>
      </c>
      <c r="B166" s="9" t="s">
        <v>448</v>
      </c>
      <c r="C166" s="9" t="s">
        <v>450</v>
      </c>
      <c r="D166" s="9"/>
      <c r="E166" s="12" t="s">
        <v>451</v>
      </c>
      <c r="F166" s="8" t="s">
        <v>35</v>
      </c>
      <c r="G166" s="19" t="s">
        <v>18</v>
      </c>
      <c r="H166" s="12"/>
      <c r="I166" s="8">
        <v>0</v>
      </c>
    </row>
    <row r="167" spans="1:9" x14ac:dyDescent="0.3">
      <c r="A167" s="8" t="s">
        <v>58</v>
      </c>
      <c r="B167" s="9" t="s">
        <v>448</v>
      </c>
      <c r="C167" s="9" t="s">
        <v>97</v>
      </c>
      <c r="D167" s="9"/>
      <c r="E167" s="12" t="s">
        <v>452</v>
      </c>
      <c r="F167" s="8" t="s">
        <v>33</v>
      </c>
      <c r="G167" s="21" t="s">
        <v>20</v>
      </c>
      <c r="H167" s="12"/>
      <c r="I167" s="8">
        <v>0</v>
      </c>
    </row>
    <row r="168" spans="1:9" x14ac:dyDescent="0.3">
      <c r="A168" s="8" t="s">
        <v>58</v>
      </c>
      <c r="B168" s="9" t="s">
        <v>453</v>
      </c>
      <c r="C168" s="9" t="s">
        <v>454</v>
      </c>
      <c r="D168" s="9"/>
      <c r="E168" s="12" t="s">
        <v>455</v>
      </c>
      <c r="F168" s="8" t="s">
        <v>31</v>
      </c>
      <c r="G168" s="19" t="s">
        <v>18</v>
      </c>
      <c r="H168" s="12"/>
      <c r="I168" s="8">
        <v>1</v>
      </c>
    </row>
    <row r="169" spans="1:9" x14ac:dyDescent="0.3">
      <c r="A169" s="8" t="s">
        <v>58</v>
      </c>
      <c r="B169" s="9" t="s">
        <v>453</v>
      </c>
      <c r="C169" s="9" t="s">
        <v>456</v>
      </c>
      <c r="D169" s="9"/>
      <c r="E169" s="12" t="s">
        <v>457</v>
      </c>
      <c r="F169" s="8" t="s">
        <v>31</v>
      </c>
      <c r="G169" s="19" t="s">
        <v>18</v>
      </c>
      <c r="H169" s="12"/>
      <c r="I169" s="8">
        <v>0</v>
      </c>
    </row>
    <row r="170" spans="1:9" x14ac:dyDescent="0.3">
      <c r="A170" s="8" t="s">
        <v>58</v>
      </c>
      <c r="B170" s="9" t="s">
        <v>453</v>
      </c>
      <c r="C170" s="9" t="s">
        <v>458</v>
      </c>
      <c r="D170" s="9"/>
      <c r="E170" s="12" t="s">
        <v>459</v>
      </c>
      <c r="F170" s="8" t="s">
        <v>31</v>
      </c>
      <c r="G170" s="19" t="s">
        <v>18</v>
      </c>
      <c r="H170" s="12"/>
      <c r="I170" s="8">
        <v>0</v>
      </c>
    </row>
    <row r="171" spans="1:9" ht="26.4" x14ac:dyDescent="0.3">
      <c r="A171" s="8" t="s">
        <v>58</v>
      </c>
      <c r="B171" s="9" t="s">
        <v>453</v>
      </c>
      <c r="C171" s="9" t="s">
        <v>460</v>
      </c>
      <c r="D171" s="9"/>
      <c r="E171" s="12" t="s">
        <v>461</v>
      </c>
      <c r="F171" s="8" t="s">
        <v>31</v>
      </c>
      <c r="G171" s="19" t="s">
        <v>18</v>
      </c>
      <c r="H171" s="12" t="s">
        <v>462</v>
      </c>
      <c r="I171" s="8">
        <v>0</v>
      </c>
    </row>
    <row r="172" spans="1:9" x14ac:dyDescent="0.3">
      <c r="A172" s="8" t="s">
        <v>62</v>
      </c>
      <c r="B172" s="9" t="s">
        <v>463</v>
      </c>
      <c r="C172" s="9" t="s">
        <v>431</v>
      </c>
      <c r="D172" s="9"/>
      <c r="E172" s="12" t="s">
        <v>464</v>
      </c>
      <c r="F172" s="8" t="s">
        <v>35</v>
      </c>
      <c r="G172" s="19" t="s">
        <v>18</v>
      </c>
      <c r="H172" s="12"/>
      <c r="I172" s="8">
        <v>1</v>
      </c>
    </row>
    <row r="173" spans="1:9" x14ac:dyDescent="0.3">
      <c r="A173" s="8" t="s">
        <v>62</v>
      </c>
      <c r="B173" s="9" t="s">
        <v>463</v>
      </c>
      <c r="C173" s="9" t="s">
        <v>97</v>
      </c>
      <c r="D173" s="9"/>
      <c r="E173" s="12" t="s">
        <v>465</v>
      </c>
      <c r="F173" s="8" t="s">
        <v>35</v>
      </c>
      <c r="G173" s="19" t="s">
        <v>18</v>
      </c>
      <c r="H173" s="12"/>
      <c r="I173" s="8">
        <v>0</v>
      </c>
    </row>
    <row r="174" spans="1:9" x14ac:dyDescent="0.3">
      <c r="A174" s="8" t="s">
        <v>62</v>
      </c>
      <c r="B174" s="9" t="s">
        <v>463</v>
      </c>
      <c r="C174" s="9" t="s">
        <v>435</v>
      </c>
      <c r="D174" s="9"/>
      <c r="E174" s="12" t="s">
        <v>466</v>
      </c>
      <c r="F174" s="8" t="s">
        <v>35</v>
      </c>
      <c r="G174" s="19" t="s">
        <v>18</v>
      </c>
      <c r="H174" s="12"/>
      <c r="I174" s="8">
        <v>0</v>
      </c>
    </row>
    <row r="175" spans="1:9" x14ac:dyDescent="0.3">
      <c r="A175" s="8" t="s">
        <v>62</v>
      </c>
      <c r="B175" s="9" t="s">
        <v>463</v>
      </c>
      <c r="C175" s="9" t="s">
        <v>426</v>
      </c>
      <c r="D175" s="9"/>
      <c r="E175" s="12" t="s">
        <v>467</v>
      </c>
      <c r="F175" s="8" t="s">
        <v>35</v>
      </c>
      <c r="G175" s="19" t="s">
        <v>18</v>
      </c>
      <c r="H175" s="12" t="s">
        <v>176</v>
      </c>
      <c r="I175" s="8">
        <v>0</v>
      </c>
    </row>
    <row r="176" spans="1:9" x14ac:dyDescent="0.3">
      <c r="A176" s="8" t="s">
        <v>62</v>
      </c>
      <c r="B176" s="9" t="s">
        <v>463</v>
      </c>
      <c r="C176" s="9" t="s">
        <v>468</v>
      </c>
      <c r="D176" s="9" t="s">
        <v>468</v>
      </c>
      <c r="E176" s="12" t="s">
        <v>469</v>
      </c>
      <c r="F176" s="8" t="s">
        <v>31</v>
      </c>
      <c r="G176" s="19" t="s">
        <v>18</v>
      </c>
      <c r="H176" s="12" t="s">
        <v>166</v>
      </c>
      <c r="I176" s="8">
        <v>0</v>
      </c>
    </row>
    <row r="177" spans="1:9" x14ac:dyDescent="0.3">
      <c r="A177" s="8" t="s">
        <v>62</v>
      </c>
      <c r="B177" s="9" t="s">
        <v>463</v>
      </c>
      <c r="C177" s="9" t="s">
        <v>470</v>
      </c>
      <c r="D177" s="9" t="s">
        <v>468</v>
      </c>
      <c r="E177" s="12" t="s">
        <v>471</v>
      </c>
      <c r="F177" s="8" t="s">
        <v>31</v>
      </c>
      <c r="G177" s="19" t="s">
        <v>18</v>
      </c>
      <c r="H177" s="12" t="s">
        <v>201</v>
      </c>
      <c r="I177" s="8">
        <v>0</v>
      </c>
    </row>
    <row r="178" spans="1:9" x14ac:dyDescent="0.3">
      <c r="A178" s="8" t="s">
        <v>62</v>
      </c>
      <c r="B178" s="9" t="s">
        <v>424</v>
      </c>
      <c r="C178" s="9" t="s">
        <v>171</v>
      </c>
      <c r="D178" s="9"/>
      <c r="E178" s="12" t="s">
        <v>472</v>
      </c>
      <c r="F178" s="8" t="s">
        <v>35</v>
      </c>
      <c r="G178" s="19" t="s">
        <v>18</v>
      </c>
      <c r="H178" s="12"/>
      <c r="I178" s="8">
        <v>1</v>
      </c>
    </row>
    <row r="179" spans="1:9" x14ac:dyDescent="0.3">
      <c r="A179" s="8" t="s">
        <v>62</v>
      </c>
      <c r="B179" s="9" t="s">
        <v>424</v>
      </c>
      <c r="C179" s="9" t="s">
        <v>97</v>
      </c>
      <c r="D179" s="9"/>
      <c r="E179" s="12" t="s">
        <v>473</v>
      </c>
      <c r="F179" s="8" t="s">
        <v>35</v>
      </c>
      <c r="G179" s="19" t="s">
        <v>18</v>
      </c>
      <c r="H179" s="12"/>
      <c r="I179" s="8">
        <v>0</v>
      </c>
    </row>
    <row r="180" spans="1:9" x14ac:dyDescent="0.3">
      <c r="A180" s="8" t="s">
        <v>62</v>
      </c>
      <c r="B180" s="9" t="s">
        <v>424</v>
      </c>
      <c r="C180" s="9" t="s">
        <v>427</v>
      </c>
      <c r="D180" s="9"/>
      <c r="E180" s="12" t="s">
        <v>474</v>
      </c>
      <c r="F180" s="8" t="s">
        <v>35</v>
      </c>
      <c r="G180" s="19" t="s">
        <v>18</v>
      </c>
      <c r="H180" s="12"/>
      <c r="I180" s="8">
        <v>0</v>
      </c>
    </row>
    <row r="181" spans="1:9" x14ac:dyDescent="0.3">
      <c r="A181" s="8" t="s">
        <v>62</v>
      </c>
      <c r="B181" s="9" t="s">
        <v>424</v>
      </c>
      <c r="C181" s="9" t="s">
        <v>426</v>
      </c>
      <c r="D181" s="9"/>
      <c r="E181" s="12" t="s">
        <v>475</v>
      </c>
      <c r="F181" s="8" t="s">
        <v>35</v>
      </c>
      <c r="G181" s="19" t="s">
        <v>18</v>
      </c>
      <c r="H181" s="12" t="s">
        <v>176</v>
      </c>
      <c r="I181" s="8">
        <v>0</v>
      </c>
    </row>
    <row r="182" spans="1:9" x14ac:dyDescent="0.3">
      <c r="A182" s="8" t="s">
        <v>62</v>
      </c>
      <c r="B182" s="9" t="s">
        <v>424</v>
      </c>
      <c r="C182" s="9" t="s">
        <v>476</v>
      </c>
      <c r="D182" s="9"/>
      <c r="E182" s="12" t="s">
        <v>477</v>
      </c>
      <c r="F182" s="8" t="s">
        <v>31</v>
      </c>
      <c r="G182" s="19" t="s">
        <v>18</v>
      </c>
      <c r="H182" s="12" t="s">
        <v>176</v>
      </c>
      <c r="I182" s="8">
        <v>0</v>
      </c>
    </row>
    <row r="183" spans="1:9" x14ac:dyDescent="0.3">
      <c r="A183" s="8" t="s">
        <v>62</v>
      </c>
      <c r="B183" s="9" t="s">
        <v>392</v>
      </c>
      <c r="C183" s="9" t="s">
        <v>171</v>
      </c>
      <c r="D183" s="9"/>
      <c r="E183" s="12" t="s">
        <v>478</v>
      </c>
      <c r="F183" s="8" t="s">
        <v>35</v>
      </c>
      <c r="G183" s="19" t="s">
        <v>18</v>
      </c>
      <c r="H183" s="12"/>
      <c r="I183" s="8">
        <v>1</v>
      </c>
    </row>
    <row r="184" spans="1:9" x14ac:dyDescent="0.3">
      <c r="A184" s="8" t="s">
        <v>62</v>
      </c>
      <c r="B184" s="9" t="s">
        <v>392</v>
      </c>
      <c r="C184" s="9" t="s">
        <v>396</v>
      </c>
      <c r="D184" s="9"/>
      <c r="E184" s="12" t="s">
        <v>479</v>
      </c>
      <c r="F184" s="8" t="s">
        <v>35</v>
      </c>
      <c r="G184" s="19" t="s">
        <v>18</v>
      </c>
      <c r="H184" s="12" t="s">
        <v>176</v>
      </c>
      <c r="I184" s="8">
        <v>0</v>
      </c>
    </row>
    <row r="185" spans="1:9" x14ac:dyDescent="0.3">
      <c r="A185" s="8" t="s">
        <v>62</v>
      </c>
      <c r="B185" s="9" t="s">
        <v>392</v>
      </c>
      <c r="C185" s="9" t="s">
        <v>393</v>
      </c>
      <c r="D185" s="9"/>
      <c r="E185" s="12" t="s">
        <v>480</v>
      </c>
      <c r="F185" s="8" t="s">
        <v>35</v>
      </c>
      <c r="G185" s="19" t="s">
        <v>18</v>
      </c>
      <c r="H185" s="12"/>
      <c r="I185" s="8">
        <v>0</v>
      </c>
    </row>
    <row r="186" spans="1:9" x14ac:dyDescent="0.3">
      <c r="A186" s="8" t="s">
        <v>62</v>
      </c>
      <c r="B186" s="9" t="s">
        <v>392</v>
      </c>
      <c r="C186" s="9" t="s">
        <v>481</v>
      </c>
      <c r="D186" s="9"/>
      <c r="E186" s="12" t="s">
        <v>482</v>
      </c>
      <c r="F186" s="8" t="s">
        <v>35</v>
      </c>
      <c r="G186" s="19" t="s">
        <v>18</v>
      </c>
      <c r="H186" s="12"/>
      <c r="I186" s="8">
        <v>0</v>
      </c>
    </row>
    <row r="187" spans="1:9" x14ac:dyDescent="0.3">
      <c r="A187" s="8" t="s">
        <v>62</v>
      </c>
      <c r="B187" s="9" t="s">
        <v>483</v>
      </c>
      <c r="C187" s="9" t="s">
        <v>408</v>
      </c>
      <c r="D187" s="9"/>
      <c r="E187" s="12" t="s">
        <v>484</v>
      </c>
      <c r="F187" s="8" t="s">
        <v>35</v>
      </c>
      <c r="G187" s="19" t="s">
        <v>18</v>
      </c>
      <c r="H187" s="12"/>
      <c r="I187" s="8">
        <v>1</v>
      </c>
    </row>
    <row r="188" spans="1:9" x14ac:dyDescent="0.3">
      <c r="A188" s="8" t="s">
        <v>62</v>
      </c>
      <c r="B188" s="9" t="s">
        <v>483</v>
      </c>
      <c r="C188" s="9" t="s">
        <v>412</v>
      </c>
      <c r="D188" s="9"/>
      <c r="E188" s="12" t="s">
        <v>413</v>
      </c>
      <c r="F188" s="8" t="s">
        <v>35</v>
      </c>
      <c r="G188" s="19" t="s">
        <v>18</v>
      </c>
      <c r="H188" s="12"/>
      <c r="I188" s="8">
        <v>0</v>
      </c>
    </row>
    <row r="189" spans="1:9" x14ac:dyDescent="0.3">
      <c r="A189" s="8" t="s">
        <v>62</v>
      </c>
      <c r="B189" s="9" t="s">
        <v>483</v>
      </c>
      <c r="C189" s="9" t="s">
        <v>485</v>
      </c>
      <c r="D189" s="9"/>
      <c r="E189" s="12" t="s">
        <v>486</v>
      </c>
      <c r="F189" s="8" t="s">
        <v>35</v>
      </c>
      <c r="G189" s="19" t="s">
        <v>18</v>
      </c>
      <c r="H189" s="12"/>
      <c r="I189" s="8">
        <v>0</v>
      </c>
    </row>
    <row r="190" spans="1:9" x14ac:dyDescent="0.3">
      <c r="A190" s="8" t="s">
        <v>62</v>
      </c>
      <c r="B190" s="9" t="s">
        <v>483</v>
      </c>
      <c r="C190" s="9" t="s">
        <v>418</v>
      </c>
      <c r="D190" s="9"/>
      <c r="E190" s="12" t="s">
        <v>487</v>
      </c>
      <c r="F190" s="8" t="s">
        <v>35</v>
      </c>
      <c r="G190" s="19" t="s">
        <v>18</v>
      </c>
      <c r="H190" s="12"/>
      <c r="I190" s="8">
        <v>0</v>
      </c>
    </row>
    <row r="191" spans="1:9" x14ac:dyDescent="0.3">
      <c r="A191" s="8" t="s">
        <v>62</v>
      </c>
      <c r="B191" s="9" t="s">
        <v>420</v>
      </c>
      <c r="C191" s="9" t="s">
        <v>408</v>
      </c>
      <c r="D191" s="9"/>
      <c r="E191" s="12" t="s">
        <v>488</v>
      </c>
      <c r="F191" s="8" t="s">
        <v>35</v>
      </c>
      <c r="G191" s="19" t="s">
        <v>18</v>
      </c>
      <c r="H191" s="12"/>
      <c r="I191" s="8">
        <v>1</v>
      </c>
    </row>
    <row r="192" spans="1:9" x14ac:dyDescent="0.3">
      <c r="A192" s="8" t="s">
        <v>62</v>
      </c>
      <c r="B192" s="9" t="s">
        <v>420</v>
      </c>
      <c r="C192" s="9" t="s">
        <v>423</v>
      </c>
      <c r="D192" s="9"/>
      <c r="E192" s="12" t="s">
        <v>413</v>
      </c>
      <c r="F192" s="8" t="s">
        <v>35</v>
      </c>
      <c r="G192" s="19" t="s">
        <v>18</v>
      </c>
      <c r="H192" s="12"/>
      <c r="I192" s="8">
        <v>0</v>
      </c>
    </row>
    <row r="193" spans="1:9" x14ac:dyDescent="0.3">
      <c r="A193" s="8" t="s">
        <v>62</v>
      </c>
      <c r="B193" s="9" t="s">
        <v>489</v>
      </c>
      <c r="C193" s="9" t="s">
        <v>490</v>
      </c>
      <c r="D193" s="9"/>
      <c r="E193" s="12" t="s">
        <v>491</v>
      </c>
      <c r="F193" s="8" t="s">
        <v>35</v>
      </c>
      <c r="G193" s="19" t="s">
        <v>18</v>
      </c>
      <c r="H193" s="12"/>
      <c r="I193" s="8">
        <v>1</v>
      </c>
    </row>
    <row r="194" spans="1:9" x14ac:dyDescent="0.3">
      <c r="A194" s="8" t="s">
        <v>62</v>
      </c>
      <c r="B194" s="9" t="s">
        <v>489</v>
      </c>
      <c r="C194" s="9" t="s">
        <v>492</v>
      </c>
      <c r="D194" s="9" t="s">
        <v>492</v>
      </c>
      <c r="E194" s="12" t="s">
        <v>493</v>
      </c>
      <c r="F194" s="8" t="s">
        <v>31</v>
      </c>
      <c r="G194" s="19" t="s">
        <v>18</v>
      </c>
      <c r="H194" s="12" t="s">
        <v>166</v>
      </c>
      <c r="I194" s="8">
        <v>0</v>
      </c>
    </row>
    <row r="195" spans="1:9" x14ac:dyDescent="0.3">
      <c r="A195" s="8" t="s">
        <v>62</v>
      </c>
      <c r="B195" s="9" t="s">
        <v>489</v>
      </c>
      <c r="C195" s="9" t="s">
        <v>494</v>
      </c>
      <c r="D195" s="9" t="s">
        <v>492</v>
      </c>
      <c r="E195" s="12" t="s">
        <v>495</v>
      </c>
      <c r="F195" s="8" t="s">
        <v>35</v>
      </c>
      <c r="G195" s="19" t="s">
        <v>18</v>
      </c>
      <c r="H195" s="12" t="s">
        <v>201</v>
      </c>
      <c r="I195" s="8">
        <v>0</v>
      </c>
    </row>
    <row r="196" spans="1:9" x14ac:dyDescent="0.3">
      <c r="A196" s="8" t="s">
        <v>62</v>
      </c>
      <c r="B196" s="9" t="s">
        <v>489</v>
      </c>
      <c r="C196" s="9" t="s">
        <v>97</v>
      </c>
      <c r="D196" s="9" t="s">
        <v>492</v>
      </c>
      <c r="E196" s="12" t="s">
        <v>496</v>
      </c>
      <c r="F196" s="8" t="s">
        <v>35</v>
      </c>
      <c r="G196" s="19" t="s">
        <v>18</v>
      </c>
      <c r="H196" s="12" t="s">
        <v>201</v>
      </c>
      <c r="I196" s="8">
        <v>0</v>
      </c>
    </row>
    <row r="197" spans="1:9" x14ac:dyDescent="0.3">
      <c r="A197" s="8" t="s">
        <v>62</v>
      </c>
      <c r="B197" s="9" t="s">
        <v>489</v>
      </c>
      <c r="C197" s="9" t="s">
        <v>497</v>
      </c>
      <c r="D197" s="9"/>
      <c r="E197" s="12" t="s">
        <v>498</v>
      </c>
      <c r="F197" s="8" t="s">
        <v>35</v>
      </c>
      <c r="G197" s="19" t="s">
        <v>18</v>
      </c>
      <c r="H197" s="12"/>
      <c r="I197" s="8">
        <v>0</v>
      </c>
    </row>
    <row r="198" spans="1:9" x14ac:dyDescent="0.3">
      <c r="A198" s="8" t="s">
        <v>62</v>
      </c>
      <c r="B198" s="9" t="s">
        <v>489</v>
      </c>
      <c r="C198" s="9" t="s">
        <v>97</v>
      </c>
      <c r="D198" s="9"/>
      <c r="E198" s="12" t="s">
        <v>499</v>
      </c>
      <c r="F198" s="8" t="s">
        <v>35</v>
      </c>
      <c r="G198" s="19" t="s">
        <v>18</v>
      </c>
      <c r="H198" s="12" t="s">
        <v>500</v>
      </c>
      <c r="I198" s="8">
        <v>0</v>
      </c>
    </row>
    <row r="199" spans="1:9" x14ac:dyDescent="0.3">
      <c r="A199" s="8" t="s">
        <v>62</v>
      </c>
      <c r="B199" s="9" t="s">
        <v>489</v>
      </c>
      <c r="C199" s="9" t="s">
        <v>171</v>
      </c>
      <c r="D199" s="9"/>
      <c r="E199" s="12" t="s">
        <v>501</v>
      </c>
      <c r="F199" s="8" t="s">
        <v>35</v>
      </c>
      <c r="G199" s="19" t="s">
        <v>18</v>
      </c>
      <c r="H199" s="12"/>
      <c r="I199" s="8">
        <v>0</v>
      </c>
    </row>
    <row r="200" spans="1:9" x14ac:dyDescent="0.3">
      <c r="A200" s="8" t="s">
        <v>62</v>
      </c>
      <c r="B200" s="9" t="s">
        <v>489</v>
      </c>
      <c r="C200" s="9" t="s">
        <v>426</v>
      </c>
      <c r="D200" s="9"/>
      <c r="E200" s="12" t="s">
        <v>475</v>
      </c>
      <c r="F200" s="8" t="s">
        <v>35</v>
      </c>
      <c r="G200" s="19" t="s">
        <v>18</v>
      </c>
      <c r="H200" s="12" t="s">
        <v>176</v>
      </c>
      <c r="I200" s="8">
        <v>0</v>
      </c>
    </row>
    <row r="201" spans="1:9" x14ac:dyDescent="0.3">
      <c r="A201" s="8" t="s">
        <v>62</v>
      </c>
      <c r="B201" s="9" t="s">
        <v>502</v>
      </c>
      <c r="C201" s="9" t="s">
        <v>503</v>
      </c>
      <c r="D201" s="9"/>
      <c r="E201" s="12" t="s">
        <v>504</v>
      </c>
      <c r="F201" s="8" t="s">
        <v>35</v>
      </c>
      <c r="G201" s="19" t="s">
        <v>18</v>
      </c>
      <c r="H201" s="12"/>
      <c r="I201" s="8">
        <v>1</v>
      </c>
    </row>
    <row r="202" spans="1:9" x14ac:dyDescent="0.3">
      <c r="A202" s="8" t="s">
        <v>62</v>
      </c>
      <c r="B202" s="9" t="s">
        <v>502</v>
      </c>
      <c r="C202" s="9" t="s">
        <v>97</v>
      </c>
      <c r="D202" s="9"/>
      <c r="E202" s="12" t="s">
        <v>505</v>
      </c>
      <c r="F202" s="8" t="s">
        <v>35</v>
      </c>
      <c r="G202" s="19" t="s">
        <v>18</v>
      </c>
      <c r="H202" s="12"/>
      <c r="I202" s="8">
        <v>0</v>
      </c>
    </row>
    <row r="203" spans="1:9" x14ac:dyDescent="0.3">
      <c r="A203" s="8" t="s">
        <v>62</v>
      </c>
      <c r="B203" s="9" t="s">
        <v>506</v>
      </c>
      <c r="C203" s="9" t="s">
        <v>171</v>
      </c>
      <c r="D203" s="9"/>
      <c r="E203" s="12" t="s">
        <v>507</v>
      </c>
      <c r="F203" s="8" t="s">
        <v>35</v>
      </c>
      <c r="G203" s="19" t="s">
        <v>18</v>
      </c>
      <c r="H203" s="12"/>
      <c r="I203" s="8">
        <v>1</v>
      </c>
    </row>
    <row r="204" spans="1:9" x14ac:dyDescent="0.3">
      <c r="A204" s="8" t="s">
        <v>62</v>
      </c>
      <c r="B204" s="9" t="s">
        <v>506</v>
      </c>
      <c r="C204" s="9" t="s">
        <v>508</v>
      </c>
      <c r="D204" s="9"/>
      <c r="E204" s="12" t="s">
        <v>509</v>
      </c>
      <c r="F204" s="8" t="s">
        <v>35</v>
      </c>
      <c r="G204" s="19" t="s">
        <v>18</v>
      </c>
      <c r="H204" s="12"/>
      <c r="I204" s="8">
        <v>0</v>
      </c>
    </row>
    <row r="205" spans="1:9" x14ac:dyDescent="0.3">
      <c r="A205" s="8" t="s">
        <v>62</v>
      </c>
      <c r="B205" s="9" t="s">
        <v>506</v>
      </c>
      <c r="C205" s="9" t="s">
        <v>510</v>
      </c>
      <c r="D205" s="9"/>
      <c r="E205" s="12" t="s">
        <v>511</v>
      </c>
      <c r="F205" s="8" t="s">
        <v>35</v>
      </c>
      <c r="G205" s="19" t="s">
        <v>18</v>
      </c>
      <c r="H205" s="12" t="s">
        <v>176</v>
      </c>
      <c r="I205" s="8">
        <v>0</v>
      </c>
    </row>
    <row r="206" spans="1:9" x14ac:dyDescent="0.3">
      <c r="A206" s="8" t="s">
        <v>62</v>
      </c>
      <c r="B206" s="9" t="s">
        <v>506</v>
      </c>
      <c r="C206" s="9" t="s">
        <v>512</v>
      </c>
      <c r="D206" s="9"/>
      <c r="E206" s="12" t="s">
        <v>513</v>
      </c>
      <c r="F206" s="8" t="s">
        <v>35</v>
      </c>
      <c r="G206" s="19" t="s">
        <v>18</v>
      </c>
      <c r="H206" s="12"/>
      <c r="I206" s="8">
        <v>0</v>
      </c>
    </row>
    <row r="207" spans="1:9" x14ac:dyDescent="0.3">
      <c r="A207" s="8" t="s">
        <v>62</v>
      </c>
      <c r="B207" s="9" t="s">
        <v>448</v>
      </c>
      <c r="C207" s="9" t="s">
        <v>97</v>
      </c>
      <c r="D207" s="9"/>
      <c r="E207" s="12" t="s">
        <v>514</v>
      </c>
      <c r="F207" s="8" t="s">
        <v>35</v>
      </c>
      <c r="G207" s="19" t="s">
        <v>18</v>
      </c>
      <c r="H207" s="12"/>
      <c r="I207" s="8">
        <v>1</v>
      </c>
    </row>
    <row r="208" spans="1:9" x14ac:dyDescent="0.3">
      <c r="A208" s="8" t="s">
        <v>62</v>
      </c>
      <c r="B208" s="9" t="s">
        <v>436</v>
      </c>
      <c r="C208" s="9" t="s">
        <v>171</v>
      </c>
      <c r="D208" s="9"/>
      <c r="E208" s="12" t="s">
        <v>515</v>
      </c>
      <c r="F208" s="8" t="s">
        <v>35</v>
      </c>
      <c r="G208" s="19" t="s">
        <v>18</v>
      </c>
      <c r="H208" s="12"/>
      <c r="I208" s="8">
        <v>1</v>
      </c>
    </row>
    <row r="209" spans="1:9" x14ac:dyDescent="0.3">
      <c r="A209" s="8" t="s">
        <v>62</v>
      </c>
      <c r="B209" s="9" t="s">
        <v>436</v>
      </c>
      <c r="C209" s="9" t="s">
        <v>441</v>
      </c>
      <c r="D209" s="9"/>
      <c r="E209" s="12" t="s">
        <v>516</v>
      </c>
      <c r="F209" s="8" t="s">
        <v>35</v>
      </c>
      <c r="G209" s="19" t="s">
        <v>18</v>
      </c>
      <c r="H209" s="12"/>
      <c r="I209" s="8">
        <v>0</v>
      </c>
    </row>
    <row r="210" spans="1:9" x14ac:dyDescent="0.3">
      <c r="A210" s="8" t="s">
        <v>62</v>
      </c>
      <c r="B210" s="9" t="s">
        <v>436</v>
      </c>
      <c r="C210" s="9" t="s">
        <v>174</v>
      </c>
      <c r="D210" s="9"/>
      <c r="E210" s="12" t="s">
        <v>438</v>
      </c>
      <c r="F210" s="8" t="s">
        <v>33</v>
      </c>
      <c r="G210" s="19" t="s">
        <v>18</v>
      </c>
      <c r="H210" s="12" t="s">
        <v>176</v>
      </c>
      <c r="I210" s="8">
        <v>0</v>
      </c>
    </row>
    <row r="211" spans="1:9" x14ac:dyDescent="0.3">
      <c r="A211" s="8" t="s">
        <v>62</v>
      </c>
      <c r="B211" s="9" t="s">
        <v>436</v>
      </c>
      <c r="C211" s="9" t="s">
        <v>439</v>
      </c>
      <c r="D211" s="9"/>
      <c r="E211" s="12" t="s">
        <v>438</v>
      </c>
      <c r="F211" s="8" t="s">
        <v>33</v>
      </c>
      <c r="G211" s="19" t="s">
        <v>18</v>
      </c>
      <c r="H211" s="12" t="s">
        <v>176</v>
      </c>
      <c r="I211" s="8">
        <v>0</v>
      </c>
    </row>
    <row r="212" spans="1:9" x14ac:dyDescent="0.3">
      <c r="A212" s="8" t="s">
        <v>62</v>
      </c>
      <c r="B212" s="9" t="s">
        <v>517</v>
      </c>
      <c r="C212" s="9" t="s">
        <v>171</v>
      </c>
      <c r="D212" s="9"/>
      <c r="E212" s="12" t="s">
        <v>518</v>
      </c>
      <c r="F212" s="8" t="s">
        <v>35</v>
      </c>
      <c r="G212" s="19" t="s">
        <v>18</v>
      </c>
      <c r="H212" s="12"/>
      <c r="I212" s="8">
        <v>1</v>
      </c>
    </row>
    <row r="213" spans="1:9" x14ac:dyDescent="0.3">
      <c r="A213" s="8" t="s">
        <v>62</v>
      </c>
      <c r="B213" s="9" t="s">
        <v>519</v>
      </c>
      <c r="C213" s="9" t="s">
        <v>171</v>
      </c>
      <c r="D213" s="9"/>
      <c r="E213" s="12" t="s">
        <v>520</v>
      </c>
      <c r="F213" s="8" t="s">
        <v>31</v>
      </c>
      <c r="G213" s="19" t="s">
        <v>18</v>
      </c>
      <c r="H213" s="12"/>
      <c r="I213" s="8">
        <v>1</v>
      </c>
    </row>
    <row r="214" spans="1:9" x14ac:dyDescent="0.3">
      <c r="A214" s="8" t="s">
        <v>62</v>
      </c>
      <c r="B214" s="9" t="s">
        <v>519</v>
      </c>
      <c r="C214" s="9" t="s">
        <v>521</v>
      </c>
      <c r="D214" s="9"/>
      <c r="E214" s="12" t="s">
        <v>522</v>
      </c>
      <c r="F214" s="8" t="s">
        <v>31</v>
      </c>
      <c r="G214" s="19" t="s">
        <v>18</v>
      </c>
      <c r="H214" s="12"/>
      <c r="I214" s="8">
        <v>0</v>
      </c>
    </row>
    <row r="215" spans="1:9" x14ac:dyDescent="0.3">
      <c r="A215" s="8" t="s">
        <v>62</v>
      </c>
      <c r="B215" s="9" t="s">
        <v>523</v>
      </c>
      <c r="C215" s="9" t="s">
        <v>261</v>
      </c>
      <c r="D215" s="9"/>
      <c r="E215" s="12" t="s">
        <v>524</v>
      </c>
      <c r="F215" s="8" t="s">
        <v>31</v>
      </c>
      <c r="G215" s="19" t="s">
        <v>18</v>
      </c>
      <c r="H215" s="12"/>
      <c r="I215" s="8">
        <v>1</v>
      </c>
    </row>
    <row r="216" spans="1:9" x14ac:dyDescent="0.3">
      <c r="A216" s="8" t="s">
        <v>62</v>
      </c>
      <c r="B216" s="9" t="s">
        <v>523</v>
      </c>
      <c r="C216" s="9" t="s">
        <v>525</v>
      </c>
      <c r="D216" s="9"/>
      <c r="E216" s="12" t="s">
        <v>526</v>
      </c>
      <c r="F216" s="8" t="s">
        <v>31</v>
      </c>
      <c r="G216" s="19" t="s">
        <v>18</v>
      </c>
      <c r="H216" s="12"/>
      <c r="I216" s="8">
        <v>0</v>
      </c>
    </row>
    <row r="217" spans="1:9" x14ac:dyDescent="0.3">
      <c r="A217" s="8" t="s">
        <v>62</v>
      </c>
      <c r="B217" s="9" t="s">
        <v>527</v>
      </c>
      <c r="C217" s="9" t="s">
        <v>356</v>
      </c>
      <c r="D217" s="9"/>
      <c r="E217" s="12" t="s">
        <v>528</v>
      </c>
      <c r="F217" s="8" t="s">
        <v>31</v>
      </c>
      <c r="G217" s="19" t="s">
        <v>18</v>
      </c>
      <c r="H217" s="12"/>
      <c r="I217" s="8">
        <v>1</v>
      </c>
    </row>
    <row r="218" spans="1:9" x14ac:dyDescent="0.3">
      <c r="A218" s="8" t="s">
        <v>62</v>
      </c>
      <c r="B218" s="9" t="s">
        <v>527</v>
      </c>
      <c r="C218" s="9" t="s">
        <v>529</v>
      </c>
      <c r="D218" s="9"/>
      <c r="E218" s="12" t="s">
        <v>530</v>
      </c>
      <c r="F218" s="8" t="s">
        <v>31</v>
      </c>
      <c r="G218" s="19" t="s">
        <v>18</v>
      </c>
      <c r="H218" s="12"/>
      <c r="I218" s="8">
        <v>0</v>
      </c>
    </row>
    <row r="219" spans="1:9" x14ac:dyDescent="0.3">
      <c r="A219" s="8" t="s">
        <v>62</v>
      </c>
      <c r="B219" s="9" t="s">
        <v>531</v>
      </c>
      <c r="C219" s="9" t="s">
        <v>186</v>
      </c>
      <c r="D219" s="9"/>
      <c r="E219" s="12" t="s">
        <v>532</v>
      </c>
      <c r="F219" s="8" t="s">
        <v>31</v>
      </c>
      <c r="G219" s="19" t="s">
        <v>18</v>
      </c>
      <c r="H219" s="12"/>
      <c r="I219" s="8">
        <v>1</v>
      </c>
    </row>
    <row r="220" spans="1:9" x14ac:dyDescent="0.3">
      <c r="A220" s="8" t="s">
        <v>62</v>
      </c>
      <c r="B220" s="9" t="s">
        <v>531</v>
      </c>
      <c r="C220" s="9" t="s">
        <v>198</v>
      </c>
      <c r="D220" s="9" t="s">
        <v>198</v>
      </c>
      <c r="E220" s="12" t="s">
        <v>533</v>
      </c>
      <c r="F220" s="8" t="s">
        <v>31</v>
      </c>
      <c r="G220" s="19" t="s">
        <v>18</v>
      </c>
      <c r="H220" s="12" t="s">
        <v>166</v>
      </c>
      <c r="I220" s="8">
        <v>0</v>
      </c>
    </row>
    <row r="221" spans="1:9" x14ac:dyDescent="0.3">
      <c r="A221" s="8" t="s">
        <v>62</v>
      </c>
      <c r="B221" s="9" t="s">
        <v>531</v>
      </c>
      <c r="C221" s="9" t="s">
        <v>534</v>
      </c>
      <c r="D221" s="9" t="s">
        <v>198</v>
      </c>
      <c r="E221" s="12" t="s">
        <v>535</v>
      </c>
      <c r="F221" s="8" t="s">
        <v>31</v>
      </c>
      <c r="G221" s="19" t="s">
        <v>18</v>
      </c>
      <c r="H221" s="12" t="s">
        <v>201</v>
      </c>
      <c r="I221" s="8">
        <v>0</v>
      </c>
    </row>
    <row r="222" spans="1:9" x14ac:dyDescent="0.3">
      <c r="A222" s="8" t="s">
        <v>62</v>
      </c>
      <c r="B222" s="9" t="s">
        <v>277</v>
      </c>
      <c r="C222" s="9" t="s">
        <v>278</v>
      </c>
      <c r="D222" s="9"/>
      <c r="E222" s="12" t="s">
        <v>279</v>
      </c>
      <c r="F222" s="8" t="s">
        <v>31</v>
      </c>
      <c r="G222" s="19" t="s">
        <v>18</v>
      </c>
      <c r="H222" s="12"/>
      <c r="I222" s="8">
        <v>1</v>
      </c>
    </row>
    <row r="223" spans="1:9" x14ac:dyDescent="0.3">
      <c r="A223" s="8" t="s">
        <v>62</v>
      </c>
      <c r="B223" s="9" t="s">
        <v>277</v>
      </c>
      <c r="C223" s="9" t="s">
        <v>536</v>
      </c>
      <c r="D223" s="9"/>
      <c r="E223" s="12" t="s">
        <v>537</v>
      </c>
      <c r="F223" s="8" t="s">
        <v>31</v>
      </c>
      <c r="G223" s="19" t="s">
        <v>18</v>
      </c>
      <c r="H223" s="12"/>
      <c r="I223" s="8">
        <v>0</v>
      </c>
    </row>
    <row r="224" spans="1:9" x14ac:dyDescent="0.3">
      <c r="A224" s="8" t="s">
        <v>62</v>
      </c>
      <c r="B224" s="9" t="s">
        <v>538</v>
      </c>
      <c r="C224" s="9" t="s">
        <v>468</v>
      </c>
      <c r="D224" s="9" t="s">
        <v>468</v>
      </c>
      <c r="E224" s="12" t="s">
        <v>539</v>
      </c>
      <c r="F224" s="8" t="s">
        <v>31</v>
      </c>
      <c r="G224" s="19" t="s">
        <v>18</v>
      </c>
      <c r="H224" s="12" t="s">
        <v>166</v>
      </c>
      <c r="I224" s="8">
        <v>1</v>
      </c>
    </row>
    <row r="225" spans="1:9" x14ac:dyDescent="0.3">
      <c r="A225" s="8" t="s">
        <v>62</v>
      </c>
      <c r="B225" s="9" t="s">
        <v>538</v>
      </c>
      <c r="C225" s="9" t="s">
        <v>275</v>
      </c>
      <c r="D225" s="9" t="s">
        <v>468</v>
      </c>
      <c r="E225" s="12" t="s">
        <v>540</v>
      </c>
      <c r="F225" s="8" t="s">
        <v>31</v>
      </c>
      <c r="G225" s="19" t="s">
        <v>18</v>
      </c>
      <c r="H225" s="12" t="s">
        <v>201</v>
      </c>
      <c r="I225" s="8">
        <v>0</v>
      </c>
    </row>
    <row r="226" spans="1:9" x14ac:dyDescent="0.3">
      <c r="A226" s="8" t="s">
        <v>62</v>
      </c>
      <c r="B226" s="9" t="s">
        <v>538</v>
      </c>
      <c r="C226" s="9" t="s">
        <v>541</v>
      </c>
      <c r="D226" s="9" t="s">
        <v>468</v>
      </c>
      <c r="E226" s="12" t="s">
        <v>542</v>
      </c>
      <c r="F226" s="8" t="s">
        <v>31</v>
      </c>
      <c r="G226" s="19" t="s">
        <v>18</v>
      </c>
      <c r="H226" s="12" t="s">
        <v>201</v>
      </c>
      <c r="I226" s="8">
        <v>0</v>
      </c>
    </row>
    <row r="227" spans="1:9" x14ac:dyDescent="0.3">
      <c r="A227" s="8" t="s">
        <v>62</v>
      </c>
      <c r="B227" s="9" t="s">
        <v>543</v>
      </c>
      <c r="C227" s="9" t="s">
        <v>171</v>
      </c>
      <c r="D227" s="9"/>
      <c r="E227" s="12" t="s">
        <v>544</v>
      </c>
      <c r="F227" s="8" t="s">
        <v>31</v>
      </c>
      <c r="G227" s="19" t="s">
        <v>18</v>
      </c>
      <c r="H227" s="12"/>
      <c r="I227" s="8">
        <v>1</v>
      </c>
    </row>
    <row r="228" spans="1:9" x14ac:dyDescent="0.3">
      <c r="A228" s="8" t="s">
        <v>62</v>
      </c>
      <c r="B228" s="9" t="s">
        <v>543</v>
      </c>
      <c r="C228" s="9" t="s">
        <v>468</v>
      </c>
      <c r="D228" s="9" t="s">
        <v>468</v>
      </c>
      <c r="E228" s="12" t="s">
        <v>545</v>
      </c>
      <c r="F228" s="8" t="s">
        <v>31</v>
      </c>
      <c r="G228" s="19" t="s">
        <v>18</v>
      </c>
      <c r="H228" s="12" t="s">
        <v>166</v>
      </c>
      <c r="I228" s="8">
        <v>0</v>
      </c>
    </row>
    <row r="229" spans="1:9" x14ac:dyDescent="0.3">
      <c r="A229" s="8" t="s">
        <v>62</v>
      </c>
      <c r="B229" s="9" t="s">
        <v>543</v>
      </c>
      <c r="C229" s="9" t="s">
        <v>275</v>
      </c>
      <c r="D229" s="9" t="s">
        <v>468</v>
      </c>
      <c r="E229" s="12" t="s">
        <v>546</v>
      </c>
      <c r="F229" s="8" t="s">
        <v>31</v>
      </c>
      <c r="G229" s="19" t="s">
        <v>18</v>
      </c>
      <c r="H229" s="12" t="s">
        <v>201</v>
      </c>
      <c r="I229" s="8">
        <v>0</v>
      </c>
    </row>
    <row r="230" spans="1:9" x14ac:dyDescent="0.3">
      <c r="A230" s="8" t="s">
        <v>62</v>
      </c>
      <c r="B230" s="9" t="s">
        <v>543</v>
      </c>
      <c r="C230" s="9" t="s">
        <v>547</v>
      </c>
      <c r="D230" s="9" t="s">
        <v>468</v>
      </c>
      <c r="E230" s="12" t="s">
        <v>548</v>
      </c>
      <c r="F230" s="8" t="s">
        <v>31</v>
      </c>
      <c r="G230" s="19" t="s">
        <v>18</v>
      </c>
      <c r="H230" s="12" t="s">
        <v>201</v>
      </c>
      <c r="I230" s="8">
        <v>0</v>
      </c>
    </row>
    <row r="231" spans="1:9" x14ac:dyDescent="0.3">
      <c r="A231" s="8" t="s">
        <v>62</v>
      </c>
      <c r="B231" s="9" t="s">
        <v>549</v>
      </c>
      <c r="C231" s="9" t="s">
        <v>209</v>
      </c>
      <c r="D231" s="9"/>
      <c r="E231" s="12" t="s">
        <v>550</v>
      </c>
      <c r="F231" s="8" t="s">
        <v>31</v>
      </c>
      <c r="G231" s="19" t="s">
        <v>18</v>
      </c>
      <c r="H231" s="12"/>
      <c r="I231" s="8">
        <v>1</v>
      </c>
    </row>
    <row r="232" spans="1:9" x14ac:dyDescent="0.3">
      <c r="A232" s="8" t="s">
        <v>62</v>
      </c>
      <c r="B232" s="9" t="s">
        <v>549</v>
      </c>
      <c r="C232" s="9" t="s">
        <v>207</v>
      </c>
      <c r="D232" s="9"/>
      <c r="E232" s="12" t="s">
        <v>551</v>
      </c>
      <c r="F232" s="8" t="s">
        <v>31</v>
      </c>
      <c r="G232" s="19" t="s">
        <v>18</v>
      </c>
      <c r="H232" s="12"/>
      <c r="I232" s="8">
        <v>0</v>
      </c>
    </row>
    <row r="233" spans="1:9" x14ac:dyDescent="0.3">
      <c r="A233" s="8" t="s">
        <v>62</v>
      </c>
      <c r="B233" s="9" t="s">
        <v>552</v>
      </c>
      <c r="C233" s="9" t="s">
        <v>553</v>
      </c>
      <c r="D233" s="9"/>
      <c r="E233" s="12" t="s">
        <v>554</v>
      </c>
      <c r="F233" s="8" t="s">
        <v>31</v>
      </c>
      <c r="G233" s="19" t="s">
        <v>18</v>
      </c>
      <c r="H233" s="12"/>
      <c r="I233" s="8">
        <v>1</v>
      </c>
    </row>
    <row r="234" spans="1:9" x14ac:dyDescent="0.3">
      <c r="A234" s="8" t="s">
        <v>62</v>
      </c>
      <c r="B234" s="9" t="s">
        <v>552</v>
      </c>
      <c r="C234" s="9" t="s">
        <v>555</v>
      </c>
      <c r="D234" s="9"/>
      <c r="E234" s="12" t="s">
        <v>556</v>
      </c>
      <c r="F234" s="8" t="s">
        <v>31</v>
      </c>
      <c r="G234" s="19" t="s">
        <v>18</v>
      </c>
      <c r="H234" s="12"/>
      <c r="I234" s="8">
        <v>0</v>
      </c>
    </row>
    <row r="235" spans="1:9" x14ac:dyDescent="0.3">
      <c r="A235" s="8" t="s">
        <v>62</v>
      </c>
      <c r="B235" s="9" t="s">
        <v>552</v>
      </c>
      <c r="C235" s="9" t="s">
        <v>557</v>
      </c>
      <c r="D235" s="9"/>
      <c r="E235" s="12" t="s">
        <v>558</v>
      </c>
      <c r="F235" s="8" t="s">
        <v>31</v>
      </c>
      <c r="G235" s="19" t="s">
        <v>18</v>
      </c>
      <c r="H235" s="12"/>
      <c r="I235" s="8">
        <v>0</v>
      </c>
    </row>
    <row r="236" spans="1:9" x14ac:dyDescent="0.3">
      <c r="A236" s="8" t="s">
        <v>62</v>
      </c>
      <c r="B236" s="9" t="s">
        <v>552</v>
      </c>
      <c r="C236" s="9" t="s">
        <v>559</v>
      </c>
      <c r="D236" s="9"/>
      <c r="E236" s="12" t="s">
        <v>560</v>
      </c>
      <c r="F236" s="8" t="s">
        <v>31</v>
      </c>
      <c r="G236" s="19" t="s">
        <v>18</v>
      </c>
      <c r="H236" s="12"/>
      <c r="I236" s="8">
        <v>0</v>
      </c>
    </row>
    <row r="237" spans="1:9" x14ac:dyDescent="0.3">
      <c r="A237" s="8" t="s">
        <v>62</v>
      </c>
      <c r="B237" s="9" t="s">
        <v>552</v>
      </c>
      <c r="C237" s="9" t="s">
        <v>561</v>
      </c>
      <c r="D237" s="9"/>
      <c r="E237" s="12" t="s">
        <v>562</v>
      </c>
      <c r="F237" s="8" t="s">
        <v>31</v>
      </c>
      <c r="G237" s="19" t="s">
        <v>18</v>
      </c>
      <c r="H237" s="12"/>
      <c r="I237" s="8">
        <v>0</v>
      </c>
    </row>
    <row r="238" spans="1:9" x14ac:dyDescent="0.3">
      <c r="A238" s="8" t="s">
        <v>62</v>
      </c>
      <c r="B238" s="9" t="s">
        <v>552</v>
      </c>
      <c r="C238" s="9" t="s">
        <v>563</v>
      </c>
      <c r="D238" s="9"/>
      <c r="E238" s="12" t="s">
        <v>564</v>
      </c>
      <c r="F238" s="8" t="s">
        <v>31</v>
      </c>
      <c r="G238" s="19" t="s">
        <v>18</v>
      </c>
      <c r="H238" s="12"/>
      <c r="I238" s="8">
        <v>0</v>
      </c>
    </row>
    <row r="239" spans="1:9" x14ac:dyDescent="0.3">
      <c r="A239" s="8" t="s">
        <v>62</v>
      </c>
      <c r="B239" s="9" t="s">
        <v>552</v>
      </c>
      <c r="C239" s="9" t="s">
        <v>565</v>
      </c>
      <c r="D239" s="9"/>
      <c r="E239" s="12" t="s">
        <v>566</v>
      </c>
      <c r="F239" s="8" t="s">
        <v>31</v>
      </c>
      <c r="G239" s="19" t="s">
        <v>18</v>
      </c>
      <c r="H239" s="12"/>
      <c r="I239" s="8">
        <v>0</v>
      </c>
    </row>
    <row r="240" spans="1:9" x14ac:dyDescent="0.3">
      <c r="A240" s="8" t="s">
        <v>62</v>
      </c>
      <c r="B240" s="9" t="s">
        <v>567</v>
      </c>
      <c r="C240" s="9" t="s">
        <v>568</v>
      </c>
      <c r="D240" s="9"/>
      <c r="E240" s="12" t="s">
        <v>569</v>
      </c>
      <c r="F240" s="8" t="s">
        <v>31</v>
      </c>
      <c r="G240" s="19" t="s">
        <v>18</v>
      </c>
      <c r="H240" s="12"/>
      <c r="I240" s="8">
        <v>1</v>
      </c>
    </row>
    <row r="241" spans="1:9" x14ac:dyDescent="0.3">
      <c r="A241" s="8" t="s">
        <v>62</v>
      </c>
      <c r="B241" s="9" t="s">
        <v>567</v>
      </c>
      <c r="C241" s="9" t="s">
        <v>570</v>
      </c>
      <c r="D241" s="9"/>
      <c r="E241" s="12" t="s">
        <v>569</v>
      </c>
      <c r="F241" s="8" t="s">
        <v>31</v>
      </c>
      <c r="G241" s="19" t="s">
        <v>18</v>
      </c>
      <c r="H241" s="12"/>
      <c r="I241" s="8">
        <v>0</v>
      </c>
    </row>
    <row r="242" spans="1:9" x14ac:dyDescent="0.3">
      <c r="A242" s="8" t="s">
        <v>62</v>
      </c>
      <c r="B242" s="9" t="s">
        <v>567</v>
      </c>
      <c r="C242" s="9" t="s">
        <v>571</v>
      </c>
      <c r="D242" s="9"/>
      <c r="E242" s="12" t="s">
        <v>569</v>
      </c>
      <c r="F242" s="8" t="s">
        <v>31</v>
      </c>
      <c r="G242" s="19" t="s">
        <v>18</v>
      </c>
      <c r="H242" s="12"/>
      <c r="I242" s="8">
        <v>0</v>
      </c>
    </row>
    <row r="243" spans="1:9" x14ac:dyDescent="0.3">
      <c r="A243" s="8" t="s">
        <v>62</v>
      </c>
      <c r="B243" s="9" t="s">
        <v>567</v>
      </c>
      <c r="C243" s="9" t="s">
        <v>572</v>
      </c>
      <c r="D243" s="9"/>
      <c r="E243" s="12" t="s">
        <v>569</v>
      </c>
      <c r="F243" s="8" t="s">
        <v>31</v>
      </c>
      <c r="G243" s="19" t="s">
        <v>18</v>
      </c>
      <c r="H243" s="12"/>
      <c r="I243" s="8">
        <v>0</v>
      </c>
    </row>
    <row r="244" spans="1:9" x14ac:dyDescent="0.3">
      <c r="A244" s="8" t="s">
        <v>62</v>
      </c>
      <c r="B244" s="9" t="s">
        <v>567</v>
      </c>
      <c r="C244" s="9" t="s">
        <v>573</v>
      </c>
      <c r="D244" s="9"/>
      <c r="E244" s="12" t="s">
        <v>569</v>
      </c>
      <c r="F244" s="8" t="s">
        <v>31</v>
      </c>
      <c r="G244" s="19" t="s">
        <v>18</v>
      </c>
      <c r="H244" s="12"/>
      <c r="I244" s="8">
        <v>0</v>
      </c>
    </row>
    <row r="245" spans="1:9" x14ac:dyDescent="0.3">
      <c r="A245" s="8" t="s">
        <v>62</v>
      </c>
      <c r="B245" s="9" t="s">
        <v>567</v>
      </c>
      <c r="C245" s="9" t="s">
        <v>574</v>
      </c>
      <c r="D245" s="9"/>
      <c r="E245" s="12" t="s">
        <v>569</v>
      </c>
      <c r="F245" s="8" t="s">
        <v>31</v>
      </c>
      <c r="G245" s="19" t="s">
        <v>18</v>
      </c>
      <c r="H245" s="12"/>
      <c r="I245" s="8">
        <v>0</v>
      </c>
    </row>
    <row r="246" spans="1:9" x14ac:dyDescent="0.3">
      <c r="A246" s="8" t="s">
        <v>67</v>
      </c>
      <c r="B246" s="9" t="s">
        <v>463</v>
      </c>
      <c r="C246" s="9" t="s">
        <v>431</v>
      </c>
      <c r="D246" s="9"/>
      <c r="E246" s="12" t="s">
        <v>575</v>
      </c>
      <c r="F246" s="8" t="s">
        <v>35</v>
      </c>
      <c r="G246" s="19" t="s">
        <v>18</v>
      </c>
      <c r="H246" s="12"/>
      <c r="I246" s="8">
        <v>1</v>
      </c>
    </row>
    <row r="247" spans="1:9" x14ac:dyDescent="0.3">
      <c r="A247" s="8" t="s">
        <v>67</v>
      </c>
      <c r="B247" s="9" t="s">
        <v>463</v>
      </c>
      <c r="C247" s="9" t="s">
        <v>97</v>
      </c>
      <c r="D247" s="9"/>
      <c r="E247" s="12" t="s">
        <v>576</v>
      </c>
      <c r="F247" s="8" t="s">
        <v>35</v>
      </c>
      <c r="G247" s="21" t="s">
        <v>20</v>
      </c>
      <c r="H247" s="12" t="s">
        <v>577</v>
      </c>
      <c r="I247" s="8">
        <v>0</v>
      </c>
    </row>
    <row r="248" spans="1:9" x14ac:dyDescent="0.3">
      <c r="A248" s="8" t="s">
        <v>67</v>
      </c>
      <c r="B248" s="9" t="s">
        <v>463</v>
      </c>
      <c r="C248" s="9" t="s">
        <v>435</v>
      </c>
      <c r="D248" s="9"/>
      <c r="E248" s="12" t="s">
        <v>578</v>
      </c>
      <c r="F248" s="8" t="s">
        <v>35</v>
      </c>
      <c r="G248" s="21" t="s">
        <v>20</v>
      </c>
      <c r="H248" s="12" t="s">
        <v>579</v>
      </c>
      <c r="I248" s="8">
        <v>0</v>
      </c>
    </row>
    <row r="249" spans="1:9" x14ac:dyDescent="0.3">
      <c r="A249" s="8" t="s">
        <v>67</v>
      </c>
      <c r="B249" s="9" t="s">
        <v>463</v>
      </c>
      <c r="C249" s="9" t="s">
        <v>426</v>
      </c>
      <c r="D249" s="9"/>
      <c r="E249" s="12" t="s">
        <v>580</v>
      </c>
      <c r="F249" s="8" t="s">
        <v>33</v>
      </c>
      <c r="G249" s="19" t="s">
        <v>18</v>
      </c>
      <c r="H249" s="12" t="s">
        <v>176</v>
      </c>
      <c r="I249" s="8">
        <v>0</v>
      </c>
    </row>
    <row r="250" spans="1:9" x14ac:dyDescent="0.3">
      <c r="A250" s="8" t="s">
        <v>67</v>
      </c>
      <c r="B250" s="9" t="s">
        <v>463</v>
      </c>
      <c r="C250" s="9" t="s">
        <v>220</v>
      </c>
      <c r="D250" s="9"/>
      <c r="E250" s="12" t="s">
        <v>581</v>
      </c>
      <c r="F250" s="8" t="s">
        <v>33</v>
      </c>
      <c r="G250" s="21" t="s">
        <v>20</v>
      </c>
      <c r="H250" s="12"/>
      <c r="I250" s="8">
        <v>0</v>
      </c>
    </row>
    <row r="251" spans="1:9" x14ac:dyDescent="0.3">
      <c r="A251" s="8" t="s">
        <v>67</v>
      </c>
      <c r="B251" s="9" t="s">
        <v>424</v>
      </c>
      <c r="C251" s="9" t="s">
        <v>171</v>
      </c>
      <c r="D251" s="9"/>
      <c r="E251" s="12" t="s">
        <v>582</v>
      </c>
      <c r="F251" s="8" t="s">
        <v>35</v>
      </c>
      <c r="G251" s="19" t="s">
        <v>18</v>
      </c>
      <c r="H251" s="12"/>
      <c r="I251" s="8">
        <v>1</v>
      </c>
    </row>
    <row r="252" spans="1:9" x14ac:dyDescent="0.3">
      <c r="A252" s="8" t="s">
        <v>67</v>
      </c>
      <c r="B252" s="9" t="s">
        <v>424</v>
      </c>
      <c r="C252" s="9" t="s">
        <v>97</v>
      </c>
      <c r="D252" s="9"/>
      <c r="E252" s="12" t="s">
        <v>583</v>
      </c>
      <c r="F252" s="8" t="s">
        <v>35</v>
      </c>
      <c r="G252" s="21" t="s">
        <v>20</v>
      </c>
      <c r="H252" s="12" t="s">
        <v>584</v>
      </c>
      <c r="I252" s="8">
        <v>0</v>
      </c>
    </row>
    <row r="253" spans="1:9" x14ac:dyDescent="0.3">
      <c r="A253" s="8" t="s">
        <v>67</v>
      </c>
      <c r="B253" s="9" t="s">
        <v>424</v>
      </c>
      <c r="C253" s="9" t="s">
        <v>427</v>
      </c>
      <c r="D253" s="9"/>
      <c r="E253" s="12" t="s">
        <v>580</v>
      </c>
      <c r="F253" s="8" t="s">
        <v>33</v>
      </c>
      <c r="G253" s="19" t="s">
        <v>18</v>
      </c>
      <c r="H253" s="12"/>
      <c r="I253" s="8">
        <v>0</v>
      </c>
    </row>
    <row r="254" spans="1:9" x14ac:dyDescent="0.3">
      <c r="A254" s="8" t="s">
        <v>67</v>
      </c>
      <c r="B254" s="9" t="s">
        <v>424</v>
      </c>
      <c r="C254" s="9" t="s">
        <v>426</v>
      </c>
      <c r="D254" s="9"/>
      <c r="E254" s="12" t="s">
        <v>580</v>
      </c>
      <c r="F254" s="8" t="s">
        <v>33</v>
      </c>
      <c r="G254" s="19" t="s">
        <v>18</v>
      </c>
      <c r="H254" s="12" t="s">
        <v>176</v>
      </c>
      <c r="I254" s="8">
        <v>0</v>
      </c>
    </row>
    <row r="255" spans="1:9" x14ac:dyDescent="0.3">
      <c r="A255" s="8" t="s">
        <v>67</v>
      </c>
      <c r="B255" s="9" t="s">
        <v>424</v>
      </c>
      <c r="C255" s="9" t="s">
        <v>476</v>
      </c>
      <c r="D255" s="9"/>
      <c r="E255" s="12" t="s">
        <v>585</v>
      </c>
      <c r="F255" s="8" t="s">
        <v>31</v>
      </c>
      <c r="G255" s="19" t="s">
        <v>18</v>
      </c>
      <c r="H255" s="12" t="s">
        <v>176</v>
      </c>
      <c r="I255" s="8">
        <v>0</v>
      </c>
    </row>
    <row r="256" spans="1:9" x14ac:dyDescent="0.3">
      <c r="A256" s="8" t="s">
        <v>67</v>
      </c>
      <c r="B256" s="9" t="s">
        <v>424</v>
      </c>
      <c r="C256" s="9" t="s">
        <v>396</v>
      </c>
      <c r="D256" s="9"/>
      <c r="E256" s="12" t="s">
        <v>580</v>
      </c>
      <c r="F256" s="8" t="s">
        <v>33</v>
      </c>
      <c r="G256" s="21" t="s">
        <v>20</v>
      </c>
      <c r="H256" s="12"/>
      <c r="I256" s="8">
        <v>0</v>
      </c>
    </row>
    <row r="257" spans="1:9" x14ac:dyDescent="0.3">
      <c r="A257" s="8" t="s">
        <v>67</v>
      </c>
      <c r="B257" s="9" t="s">
        <v>424</v>
      </c>
      <c r="C257" s="9" t="s">
        <v>586</v>
      </c>
      <c r="D257" s="9"/>
      <c r="E257" s="12" t="s">
        <v>587</v>
      </c>
      <c r="F257" s="8" t="s">
        <v>31</v>
      </c>
      <c r="G257" s="21" t="s">
        <v>20</v>
      </c>
      <c r="H257" s="12" t="s">
        <v>588</v>
      </c>
      <c r="I257" s="8">
        <v>0</v>
      </c>
    </row>
    <row r="258" spans="1:9" x14ac:dyDescent="0.3">
      <c r="A258" s="8" t="s">
        <v>67</v>
      </c>
      <c r="B258" s="9" t="s">
        <v>392</v>
      </c>
      <c r="C258" s="9" t="s">
        <v>171</v>
      </c>
      <c r="D258" s="9"/>
      <c r="E258" s="12" t="s">
        <v>589</v>
      </c>
      <c r="F258" s="8" t="s">
        <v>35</v>
      </c>
      <c r="G258" s="19" t="s">
        <v>18</v>
      </c>
      <c r="H258" s="12"/>
      <c r="I258" s="8">
        <v>1</v>
      </c>
    </row>
    <row r="259" spans="1:9" x14ac:dyDescent="0.3">
      <c r="A259" s="8" t="s">
        <v>67</v>
      </c>
      <c r="B259" s="9" t="s">
        <v>392</v>
      </c>
      <c r="C259" s="9" t="s">
        <v>396</v>
      </c>
      <c r="D259" s="9"/>
      <c r="E259" s="12" t="s">
        <v>580</v>
      </c>
      <c r="F259" s="8" t="s">
        <v>33</v>
      </c>
      <c r="G259" s="19" t="s">
        <v>18</v>
      </c>
      <c r="H259" s="12" t="s">
        <v>176</v>
      </c>
      <c r="I259" s="8">
        <v>0</v>
      </c>
    </row>
    <row r="260" spans="1:9" x14ac:dyDescent="0.3">
      <c r="A260" s="8" t="s">
        <v>67</v>
      </c>
      <c r="B260" s="9" t="s">
        <v>392</v>
      </c>
      <c r="C260" s="9" t="s">
        <v>393</v>
      </c>
      <c r="D260" s="9"/>
      <c r="E260" s="12" t="s">
        <v>590</v>
      </c>
      <c r="F260" s="8" t="s">
        <v>35</v>
      </c>
      <c r="G260" s="19" t="s">
        <v>18</v>
      </c>
      <c r="H260" s="12"/>
      <c r="I260" s="8">
        <v>0</v>
      </c>
    </row>
    <row r="261" spans="1:9" x14ac:dyDescent="0.3">
      <c r="A261" s="8" t="s">
        <v>67</v>
      </c>
      <c r="B261" s="9" t="s">
        <v>392</v>
      </c>
      <c r="C261" s="9" t="s">
        <v>481</v>
      </c>
      <c r="D261" s="9"/>
      <c r="E261" s="12" t="s">
        <v>482</v>
      </c>
      <c r="F261" s="8" t="s">
        <v>35</v>
      </c>
      <c r="G261" s="19" t="s">
        <v>18</v>
      </c>
      <c r="H261" s="12"/>
      <c r="I261" s="8">
        <v>0</v>
      </c>
    </row>
    <row r="262" spans="1:9" x14ac:dyDescent="0.3">
      <c r="A262" s="8" t="s">
        <v>67</v>
      </c>
      <c r="B262" s="9" t="s">
        <v>392</v>
      </c>
      <c r="C262" s="9" t="s">
        <v>426</v>
      </c>
      <c r="D262" s="9"/>
      <c r="E262" s="12" t="s">
        <v>580</v>
      </c>
      <c r="F262" s="8" t="s">
        <v>33</v>
      </c>
      <c r="G262" s="21" t="s">
        <v>20</v>
      </c>
      <c r="H262" s="12"/>
      <c r="I262" s="8">
        <v>0</v>
      </c>
    </row>
    <row r="263" spans="1:9" x14ac:dyDescent="0.3">
      <c r="A263" s="8" t="s">
        <v>67</v>
      </c>
      <c r="B263" s="9" t="s">
        <v>483</v>
      </c>
      <c r="C263" s="9" t="s">
        <v>408</v>
      </c>
      <c r="D263" s="9"/>
      <c r="E263" s="12" t="s">
        <v>591</v>
      </c>
      <c r="F263" s="8" t="s">
        <v>35</v>
      </c>
      <c r="G263" s="19" t="s">
        <v>18</v>
      </c>
      <c r="H263" s="12"/>
      <c r="I263" s="8">
        <v>1</v>
      </c>
    </row>
    <row r="264" spans="1:9" x14ac:dyDescent="0.3">
      <c r="A264" s="8" t="s">
        <v>67</v>
      </c>
      <c r="B264" s="9" t="s">
        <v>483</v>
      </c>
      <c r="C264" s="9" t="s">
        <v>485</v>
      </c>
      <c r="D264" s="9"/>
      <c r="E264" s="12" t="s">
        <v>591</v>
      </c>
      <c r="F264" s="8" t="s">
        <v>35</v>
      </c>
      <c r="G264" s="19" t="s">
        <v>18</v>
      </c>
      <c r="H264" s="12"/>
      <c r="I264" s="8">
        <v>0</v>
      </c>
    </row>
    <row r="265" spans="1:9" x14ac:dyDescent="0.3">
      <c r="A265" s="8" t="s">
        <v>67</v>
      </c>
      <c r="B265" s="9" t="s">
        <v>483</v>
      </c>
      <c r="C265" s="9" t="s">
        <v>412</v>
      </c>
      <c r="D265" s="9"/>
      <c r="E265" s="12" t="s">
        <v>580</v>
      </c>
      <c r="F265" s="8" t="s">
        <v>33</v>
      </c>
      <c r="G265" s="19" t="s">
        <v>18</v>
      </c>
      <c r="H265" s="12"/>
      <c r="I265" s="8">
        <v>0</v>
      </c>
    </row>
    <row r="266" spans="1:9" x14ac:dyDescent="0.3">
      <c r="A266" s="8" t="s">
        <v>67</v>
      </c>
      <c r="B266" s="9" t="s">
        <v>483</v>
      </c>
      <c r="C266" s="9" t="s">
        <v>418</v>
      </c>
      <c r="D266" s="9"/>
      <c r="E266" s="12" t="s">
        <v>580</v>
      </c>
      <c r="F266" s="8" t="s">
        <v>33</v>
      </c>
      <c r="G266" s="19" t="s">
        <v>18</v>
      </c>
      <c r="H266" s="12"/>
      <c r="I266" s="8">
        <v>0</v>
      </c>
    </row>
    <row r="267" spans="1:9" x14ac:dyDescent="0.3">
      <c r="A267" s="8" t="s">
        <v>67</v>
      </c>
      <c r="B267" s="9" t="s">
        <v>483</v>
      </c>
      <c r="C267" s="9" t="s">
        <v>426</v>
      </c>
      <c r="D267" s="9"/>
      <c r="E267" s="12" t="s">
        <v>580</v>
      </c>
      <c r="F267" s="8" t="s">
        <v>33</v>
      </c>
      <c r="G267" s="21" t="s">
        <v>20</v>
      </c>
      <c r="H267" s="12"/>
      <c r="I267" s="8">
        <v>0</v>
      </c>
    </row>
    <row r="268" spans="1:9" x14ac:dyDescent="0.3">
      <c r="A268" s="8" t="s">
        <v>67</v>
      </c>
      <c r="B268" s="9" t="s">
        <v>489</v>
      </c>
      <c r="C268" s="9" t="s">
        <v>490</v>
      </c>
      <c r="D268" s="9"/>
      <c r="E268" s="12" t="s">
        <v>592</v>
      </c>
      <c r="F268" s="8" t="s">
        <v>31</v>
      </c>
      <c r="G268" s="19" t="s">
        <v>18</v>
      </c>
      <c r="H268" s="12"/>
      <c r="I268" s="8">
        <v>1</v>
      </c>
    </row>
    <row r="269" spans="1:9" x14ac:dyDescent="0.3">
      <c r="A269" s="8" t="s">
        <v>67</v>
      </c>
      <c r="B269" s="9" t="s">
        <v>489</v>
      </c>
      <c r="C269" s="9" t="s">
        <v>492</v>
      </c>
      <c r="D269" s="9" t="s">
        <v>492</v>
      </c>
      <c r="E269" s="12" t="s">
        <v>493</v>
      </c>
      <c r="F269" s="8" t="s">
        <v>31</v>
      </c>
      <c r="G269" s="19" t="s">
        <v>18</v>
      </c>
      <c r="H269" s="12" t="s">
        <v>166</v>
      </c>
      <c r="I269" s="8">
        <v>0</v>
      </c>
    </row>
    <row r="270" spans="1:9" x14ac:dyDescent="0.3">
      <c r="A270" s="8" t="s">
        <v>67</v>
      </c>
      <c r="B270" s="9" t="s">
        <v>489</v>
      </c>
      <c r="C270" s="9" t="s">
        <v>494</v>
      </c>
      <c r="D270" s="9" t="s">
        <v>492</v>
      </c>
      <c r="E270" s="12" t="s">
        <v>593</v>
      </c>
      <c r="F270" s="8" t="s">
        <v>35</v>
      </c>
      <c r="G270" s="19" t="s">
        <v>18</v>
      </c>
      <c r="H270" s="12" t="s">
        <v>201</v>
      </c>
      <c r="I270" s="8">
        <v>0</v>
      </c>
    </row>
    <row r="271" spans="1:9" x14ac:dyDescent="0.3">
      <c r="A271" s="8" t="s">
        <v>67</v>
      </c>
      <c r="B271" s="9" t="s">
        <v>489</v>
      </c>
      <c r="C271" s="9" t="s">
        <v>97</v>
      </c>
      <c r="D271" s="9" t="s">
        <v>492</v>
      </c>
      <c r="E271" s="12" t="s">
        <v>594</v>
      </c>
      <c r="F271" s="8" t="s">
        <v>35</v>
      </c>
      <c r="G271" s="21" t="s">
        <v>20</v>
      </c>
      <c r="H271" s="12" t="s">
        <v>201</v>
      </c>
      <c r="I271" s="8">
        <v>0</v>
      </c>
    </row>
    <row r="272" spans="1:9" x14ac:dyDescent="0.3">
      <c r="A272" s="8" t="s">
        <v>67</v>
      </c>
      <c r="B272" s="9" t="s">
        <v>489</v>
      </c>
      <c r="C272" s="9" t="s">
        <v>497</v>
      </c>
      <c r="D272" s="9"/>
      <c r="E272" s="12" t="s">
        <v>595</v>
      </c>
      <c r="F272" s="8" t="s">
        <v>35</v>
      </c>
      <c r="G272" s="19" t="s">
        <v>18</v>
      </c>
      <c r="H272" s="12"/>
      <c r="I272" s="8">
        <v>0</v>
      </c>
    </row>
    <row r="273" spans="1:9" x14ac:dyDescent="0.3">
      <c r="A273" s="8" t="s">
        <v>67</v>
      </c>
      <c r="B273" s="9" t="s">
        <v>489</v>
      </c>
      <c r="C273" s="9" t="s">
        <v>171</v>
      </c>
      <c r="D273" s="9"/>
      <c r="E273" s="12" t="s">
        <v>580</v>
      </c>
      <c r="F273" s="8" t="s">
        <v>33</v>
      </c>
      <c r="G273" s="19" t="s">
        <v>18</v>
      </c>
      <c r="H273" s="12"/>
      <c r="I273" s="8">
        <v>0</v>
      </c>
    </row>
    <row r="274" spans="1:9" x14ac:dyDescent="0.3">
      <c r="A274" s="8" t="s">
        <v>67</v>
      </c>
      <c r="B274" s="9" t="s">
        <v>489</v>
      </c>
      <c r="C274" s="9" t="s">
        <v>426</v>
      </c>
      <c r="D274" s="9"/>
      <c r="E274" s="12" t="s">
        <v>580</v>
      </c>
      <c r="F274" s="8" t="s">
        <v>33</v>
      </c>
      <c r="G274" s="19" t="s">
        <v>18</v>
      </c>
      <c r="H274" s="12" t="s">
        <v>176</v>
      </c>
      <c r="I274" s="8">
        <v>0</v>
      </c>
    </row>
    <row r="275" spans="1:9" x14ac:dyDescent="0.3">
      <c r="A275" s="8" t="s">
        <v>67</v>
      </c>
      <c r="B275" s="9" t="s">
        <v>502</v>
      </c>
      <c r="C275" s="9" t="s">
        <v>503</v>
      </c>
      <c r="D275" s="9"/>
      <c r="E275" s="12" t="s">
        <v>596</v>
      </c>
      <c r="F275" s="8" t="s">
        <v>35</v>
      </c>
      <c r="G275" s="19" t="s">
        <v>18</v>
      </c>
      <c r="H275" s="12"/>
      <c r="I275" s="8">
        <v>1</v>
      </c>
    </row>
    <row r="276" spans="1:9" x14ac:dyDescent="0.3">
      <c r="A276" s="8" t="s">
        <v>67</v>
      </c>
      <c r="B276" s="9" t="s">
        <v>502</v>
      </c>
      <c r="C276" s="9" t="s">
        <v>97</v>
      </c>
      <c r="D276" s="9"/>
      <c r="E276" s="12" t="s">
        <v>580</v>
      </c>
      <c r="F276" s="8" t="s">
        <v>33</v>
      </c>
      <c r="G276" s="19" t="s">
        <v>18</v>
      </c>
      <c r="H276" s="12"/>
      <c r="I276" s="8">
        <v>0</v>
      </c>
    </row>
    <row r="277" spans="1:9" ht="39.6" x14ac:dyDescent="0.3">
      <c r="A277" s="8" t="s">
        <v>67</v>
      </c>
      <c r="B277" s="9" t="s">
        <v>502</v>
      </c>
      <c r="C277" s="8" t="s">
        <v>174</v>
      </c>
      <c r="D277" s="9"/>
      <c r="E277" s="12" t="s">
        <v>580</v>
      </c>
      <c r="F277" s="8" t="s">
        <v>33</v>
      </c>
      <c r="G277" s="36" t="s">
        <v>18</v>
      </c>
      <c r="H277" s="12" t="s">
        <v>597</v>
      </c>
      <c r="I277" s="8">
        <v>0</v>
      </c>
    </row>
    <row r="278" spans="1:9" x14ac:dyDescent="0.3">
      <c r="A278" s="8" t="s">
        <v>67</v>
      </c>
      <c r="B278" s="9" t="s">
        <v>506</v>
      </c>
      <c r="C278" s="9" t="s">
        <v>171</v>
      </c>
      <c r="D278" s="9"/>
      <c r="E278" s="12" t="s">
        <v>598</v>
      </c>
      <c r="F278" s="8" t="s">
        <v>35</v>
      </c>
      <c r="G278" s="19" t="s">
        <v>18</v>
      </c>
      <c r="H278" s="12"/>
      <c r="I278" s="8">
        <v>1</v>
      </c>
    </row>
    <row r="279" spans="1:9" x14ac:dyDescent="0.3">
      <c r="A279" s="8" t="s">
        <v>67</v>
      </c>
      <c r="B279" s="9" t="s">
        <v>506</v>
      </c>
      <c r="C279" s="9" t="s">
        <v>510</v>
      </c>
      <c r="D279" s="9"/>
      <c r="E279" s="12" t="s">
        <v>580</v>
      </c>
      <c r="F279" s="8" t="s">
        <v>33</v>
      </c>
      <c r="G279" s="19" t="s">
        <v>18</v>
      </c>
      <c r="H279" s="12" t="s">
        <v>176</v>
      </c>
      <c r="I279" s="8">
        <v>0</v>
      </c>
    </row>
    <row r="280" spans="1:9" x14ac:dyDescent="0.3">
      <c r="A280" s="8" t="s">
        <v>67</v>
      </c>
      <c r="B280" s="9" t="s">
        <v>506</v>
      </c>
      <c r="C280" s="9" t="s">
        <v>512</v>
      </c>
      <c r="D280" s="9"/>
      <c r="E280" s="12" t="s">
        <v>599</v>
      </c>
      <c r="F280" s="8" t="s">
        <v>35</v>
      </c>
      <c r="G280" s="19" t="s">
        <v>18</v>
      </c>
      <c r="H280" s="12"/>
      <c r="I280" s="8">
        <v>0</v>
      </c>
    </row>
    <row r="281" spans="1:9" x14ac:dyDescent="0.3">
      <c r="A281" s="8" t="s">
        <v>67</v>
      </c>
      <c r="B281" s="9" t="s">
        <v>506</v>
      </c>
      <c r="C281" s="9" t="s">
        <v>508</v>
      </c>
      <c r="D281" s="9"/>
      <c r="E281" s="12" t="s">
        <v>580</v>
      </c>
      <c r="F281" s="8" t="s">
        <v>33</v>
      </c>
      <c r="G281" s="19" t="s">
        <v>18</v>
      </c>
      <c r="H281" s="12"/>
      <c r="I281" s="8">
        <v>0</v>
      </c>
    </row>
    <row r="282" spans="1:9" x14ac:dyDescent="0.3">
      <c r="A282" s="8" t="s">
        <v>67</v>
      </c>
      <c r="B282" s="9" t="s">
        <v>400</v>
      </c>
      <c r="C282" s="9" t="s">
        <v>171</v>
      </c>
      <c r="D282" s="9"/>
      <c r="E282" s="12" t="s">
        <v>600</v>
      </c>
      <c r="F282" s="8" t="s">
        <v>35</v>
      </c>
      <c r="G282" s="21" t="s">
        <v>20</v>
      </c>
      <c r="H282" s="12"/>
      <c r="I282" s="8">
        <v>1</v>
      </c>
    </row>
    <row r="283" spans="1:9" ht="39.6" x14ac:dyDescent="0.3">
      <c r="A283" s="8" t="s">
        <v>67</v>
      </c>
      <c r="B283" s="9" t="s">
        <v>400</v>
      </c>
      <c r="C283" s="9" t="s">
        <v>220</v>
      </c>
      <c r="D283" s="9"/>
      <c r="E283" s="12" t="s">
        <v>601</v>
      </c>
      <c r="F283" s="8" t="s">
        <v>31</v>
      </c>
      <c r="G283" s="21" t="s">
        <v>20</v>
      </c>
      <c r="H283" s="12" t="s">
        <v>602</v>
      </c>
      <c r="I283" s="8">
        <v>0</v>
      </c>
    </row>
    <row r="284" spans="1:9" x14ac:dyDescent="0.3">
      <c r="A284" s="8" t="s">
        <v>67</v>
      </c>
      <c r="B284" s="9" t="s">
        <v>400</v>
      </c>
      <c r="C284" s="9" t="s">
        <v>393</v>
      </c>
      <c r="D284" s="9"/>
      <c r="E284" s="12" t="s">
        <v>603</v>
      </c>
      <c r="F284" s="8" t="s">
        <v>35</v>
      </c>
      <c r="G284" s="21" t="s">
        <v>20</v>
      </c>
      <c r="H284" s="12"/>
      <c r="I284" s="8">
        <v>0</v>
      </c>
    </row>
    <row r="285" spans="1:9" x14ac:dyDescent="0.3">
      <c r="A285" s="8" t="s">
        <v>67</v>
      </c>
      <c r="B285" s="9" t="s">
        <v>400</v>
      </c>
      <c r="C285" s="9" t="s">
        <v>426</v>
      </c>
      <c r="D285" s="9"/>
      <c r="E285" s="12" t="s">
        <v>580</v>
      </c>
      <c r="F285" s="8" t="s">
        <v>33</v>
      </c>
      <c r="G285" s="21" t="s">
        <v>20</v>
      </c>
      <c r="H285" s="12"/>
      <c r="I285" s="8">
        <v>0</v>
      </c>
    </row>
    <row r="286" spans="1:9" x14ac:dyDescent="0.3">
      <c r="A286" s="8" t="s">
        <v>71</v>
      </c>
      <c r="B286" s="9" t="s">
        <v>604</v>
      </c>
      <c r="C286" s="9" t="s">
        <v>171</v>
      </c>
      <c r="D286" s="9"/>
      <c r="E286" s="12" t="s">
        <v>605</v>
      </c>
      <c r="F286" s="8" t="s">
        <v>35</v>
      </c>
      <c r="G286" s="19" t="s">
        <v>18</v>
      </c>
      <c r="H286" s="12"/>
      <c r="I286" s="8">
        <v>1</v>
      </c>
    </row>
    <row r="287" spans="1:9" x14ac:dyDescent="0.3">
      <c r="A287" s="8" t="s">
        <v>71</v>
      </c>
      <c r="B287" s="9" t="s">
        <v>604</v>
      </c>
      <c r="C287" s="9" t="s">
        <v>196</v>
      </c>
      <c r="D287" s="9"/>
      <c r="E287" s="12" t="s">
        <v>606</v>
      </c>
      <c r="F287" s="8" t="s">
        <v>35</v>
      </c>
      <c r="G287" s="21" t="s">
        <v>20</v>
      </c>
      <c r="H287" s="12" t="s">
        <v>607</v>
      </c>
      <c r="I287" s="8">
        <v>0</v>
      </c>
    </row>
    <row r="288" spans="1:9" x14ac:dyDescent="0.3">
      <c r="A288" s="8" t="s">
        <v>71</v>
      </c>
      <c r="B288" s="9" t="s">
        <v>604</v>
      </c>
      <c r="C288" s="9" t="s">
        <v>608</v>
      </c>
      <c r="D288" s="9"/>
      <c r="E288" s="12" t="s">
        <v>609</v>
      </c>
      <c r="F288" s="8" t="s">
        <v>35</v>
      </c>
      <c r="G288" s="19" t="s">
        <v>18</v>
      </c>
      <c r="H288" s="12"/>
      <c r="I288" s="8">
        <v>0</v>
      </c>
    </row>
    <row r="289" spans="1:9" x14ac:dyDescent="0.3">
      <c r="A289" s="8" t="s">
        <v>71</v>
      </c>
      <c r="B289" s="9" t="s">
        <v>604</v>
      </c>
      <c r="C289" s="9" t="s">
        <v>610</v>
      </c>
      <c r="D289" s="9"/>
      <c r="E289" s="12" t="s">
        <v>611</v>
      </c>
      <c r="F289" s="8" t="s">
        <v>35</v>
      </c>
      <c r="G289" s="19" t="s">
        <v>18</v>
      </c>
      <c r="H289" s="12"/>
      <c r="I289" s="8">
        <v>0</v>
      </c>
    </row>
    <row r="290" spans="1:9" ht="26.4" x14ac:dyDescent="0.3">
      <c r="A290" s="8" t="s">
        <v>71</v>
      </c>
      <c r="B290" s="9" t="s">
        <v>604</v>
      </c>
      <c r="C290" s="9" t="s">
        <v>38</v>
      </c>
      <c r="D290" s="9"/>
      <c r="E290" s="12" t="s">
        <v>612</v>
      </c>
      <c r="F290" s="8" t="s">
        <v>35</v>
      </c>
      <c r="G290" s="21" t="s">
        <v>20</v>
      </c>
      <c r="H290" s="12" t="s">
        <v>613</v>
      </c>
      <c r="I290" s="8">
        <v>0</v>
      </c>
    </row>
    <row r="291" spans="1:9" ht="26.4" x14ac:dyDescent="0.3">
      <c r="A291" s="8" t="s">
        <v>71</v>
      </c>
      <c r="B291" s="9" t="s">
        <v>604</v>
      </c>
      <c r="C291" s="9" t="s">
        <v>97</v>
      </c>
      <c r="D291" s="9"/>
      <c r="E291" s="12" t="s">
        <v>614</v>
      </c>
      <c r="F291" s="8" t="s">
        <v>35</v>
      </c>
      <c r="G291" s="21" t="s">
        <v>20</v>
      </c>
      <c r="H291" s="12" t="s">
        <v>615</v>
      </c>
      <c r="I291" s="8">
        <v>0</v>
      </c>
    </row>
    <row r="292" spans="1:9" x14ac:dyDescent="0.3">
      <c r="A292" s="8" t="s">
        <v>71</v>
      </c>
      <c r="B292" s="9" t="s">
        <v>604</v>
      </c>
      <c r="C292" s="9" t="s">
        <v>468</v>
      </c>
      <c r="D292" s="9" t="s">
        <v>468</v>
      </c>
      <c r="E292" s="12" t="s">
        <v>616</v>
      </c>
      <c r="F292" s="8" t="s">
        <v>31</v>
      </c>
      <c r="G292" s="19" t="s">
        <v>18</v>
      </c>
      <c r="H292" s="12" t="s">
        <v>166</v>
      </c>
      <c r="I292" s="8">
        <v>0</v>
      </c>
    </row>
    <row r="293" spans="1:9" x14ac:dyDescent="0.3">
      <c r="A293" s="8" t="s">
        <v>71</v>
      </c>
      <c r="B293" s="9" t="s">
        <v>604</v>
      </c>
      <c r="C293" s="9" t="s">
        <v>547</v>
      </c>
      <c r="D293" s="9" t="s">
        <v>468</v>
      </c>
      <c r="E293" s="12" t="s">
        <v>617</v>
      </c>
      <c r="F293" s="8" t="s">
        <v>35</v>
      </c>
      <c r="G293" s="19" t="s">
        <v>18</v>
      </c>
      <c r="H293" s="12" t="s">
        <v>201</v>
      </c>
      <c r="I293" s="8">
        <v>0</v>
      </c>
    </row>
    <row r="294" spans="1:9" x14ac:dyDescent="0.3">
      <c r="A294" s="8" t="s">
        <v>71</v>
      </c>
      <c r="B294" s="9" t="s">
        <v>604</v>
      </c>
      <c r="C294" s="9" t="s">
        <v>618</v>
      </c>
      <c r="D294" s="9" t="s">
        <v>468</v>
      </c>
      <c r="E294" s="12" t="s">
        <v>619</v>
      </c>
      <c r="F294" s="8" t="s">
        <v>35</v>
      </c>
      <c r="G294" s="19" t="s">
        <v>18</v>
      </c>
      <c r="H294" s="12" t="s">
        <v>201</v>
      </c>
      <c r="I294" s="8">
        <v>0</v>
      </c>
    </row>
    <row r="295" spans="1:9" x14ac:dyDescent="0.3">
      <c r="A295" s="8" t="s">
        <v>71</v>
      </c>
      <c r="B295" s="9" t="s">
        <v>604</v>
      </c>
      <c r="C295" s="9" t="s">
        <v>620</v>
      </c>
      <c r="D295" s="9" t="s">
        <v>468</v>
      </c>
      <c r="E295" s="12" t="s">
        <v>621</v>
      </c>
      <c r="F295" s="8" t="s">
        <v>31</v>
      </c>
      <c r="G295" s="19" t="s">
        <v>18</v>
      </c>
      <c r="H295" s="12" t="s">
        <v>201</v>
      </c>
      <c r="I295" s="8">
        <v>0</v>
      </c>
    </row>
    <row r="296" spans="1:9" x14ac:dyDescent="0.3">
      <c r="A296" s="8" t="s">
        <v>71</v>
      </c>
      <c r="B296" s="9" t="s">
        <v>270</v>
      </c>
      <c r="C296" s="9" t="s">
        <v>271</v>
      </c>
      <c r="D296" s="9"/>
      <c r="E296" s="12" t="s">
        <v>622</v>
      </c>
      <c r="F296" s="8" t="s">
        <v>35</v>
      </c>
      <c r="G296" s="19" t="s">
        <v>18</v>
      </c>
      <c r="H296" s="12"/>
      <c r="I296" s="8">
        <v>1</v>
      </c>
    </row>
    <row r="297" spans="1:9" x14ac:dyDescent="0.3">
      <c r="A297" s="8" t="s">
        <v>71</v>
      </c>
      <c r="B297" s="9" t="s">
        <v>270</v>
      </c>
      <c r="C297" s="9" t="s">
        <v>275</v>
      </c>
      <c r="D297" s="9"/>
      <c r="E297" s="12" t="s">
        <v>623</v>
      </c>
      <c r="F297" s="8" t="s">
        <v>35</v>
      </c>
      <c r="G297" s="19" t="s">
        <v>18</v>
      </c>
      <c r="H297" s="12"/>
      <c r="I297" s="8">
        <v>0</v>
      </c>
    </row>
    <row r="298" spans="1:9" x14ac:dyDescent="0.3">
      <c r="A298" s="8" t="s">
        <v>71</v>
      </c>
      <c r="B298" s="9" t="s">
        <v>270</v>
      </c>
      <c r="C298" s="9" t="s">
        <v>624</v>
      </c>
      <c r="D298" s="9"/>
      <c r="E298" s="12" t="s">
        <v>625</v>
      </c>
      <c r="F298" s="8" t="s">
        <v>35</v>
      </c>
      <c r="G298" s="19" t="s">
        <v>18</v>
      </c>
      <c r="H298" s="12"/>
      <c r="I298" s="8">
        <v>0</v>
      </c>
    </row>
    <row r="299" spans="1:9" x14ac:dyDescent="0.3">
      <c r="A299" s="8" t="s">
        <v>71</v>
      </c>
      <c r="B299" s="9" t="s">
        <v>270</v>
      </c>
      <c r="C299" s="9" t="s">
        <v>626</v>
      </c>
      <c r="D299" s="9"/>
      <c r="E299" s="12" t="s">
        <v>625</v>
      </c>
      <c r="F299" s="8" t="s">
        <v>35</v>
      </c>
      <c r="G299" s="19" t="s">
        <v>18</v>
      </c>
      <c r="H299" s="12"/>
      <c r="I299" s="8">
        <v>0</v>
      </c>
    </row>
    <row r="300" spans="1:9" x14ac:dyDescent="0.3">
      <c r="A300" s="8" t="s">
        <v>71</v>
      </c>
      <c r="B300" s="9" t="s">
        <v>270</v>
      </c>
      <c r="C300" s="9" t="s">
        <v>541</v>
      </c>
      <c r="D300" s="9"/>
      <c r="E300" s="12" t="s">
        <v>580</v>
      </c>
      <c r="F300" s="8" t="s">
        <v>33</v>
      </c>
      <c r="G300" s="19" t="s">
        <v>18</v>
      </c>
      <c r="H300" s="12"/>
      <c r="I300" s="8">
        <v>0</v>
      </c>
    </row>
    <row r="301" spans="1:9" x14ac:dyDescent="0.3">
      <c r="A301" s="8" t="s">
        <v>71</v>
      </c>
      <c r="B301" s="9" t="s">
        <v>270</v>
      </c>
      <c r="C301" s="9" t="s">
        <v>273</v>
      </c>
      <c r="D301" s="9"/>
      <c r="E301" s="12" t="s">
        <v>627</v>
      </c>
      <c r="F301" s="8" t="s">
        <v>35</v>
      </c>
      <c r="G301" s="19" t="s">
        <v>18</v>
      </c>
      <c r="H301" s="12"/>
      <c r="I301" s="8">
        <v>0</v>
      </c>
    </row>
    <row r="302" spans="1:9" x14ac:dyDescent="0.3">
      <c r="A302" s="8" t="s">
        <v>71</v>
      </c>
      <c r="B302" s="9" t="s">
        <v>270</v>
      </c>
      <c r="C302" s="9" t="s">
        <v>628</v>
      </c>
      <c r="D302" s="9"/>
      <c r="E302" s="12" t="s">
        <v>629</v>
      </c>
      <c r="F302" s="8" t="s">
        <v>35</v>
      </c>
      <c r="G302" s="19" t="s">
        <v>18</v>
      </c>
      <c r="H302" s="12"/>
      <c r="I302" s="8">
        <v>0</v>
      </c>
    </row>
    <row r="303" spans="1:9" x14ac:dyDescent="0.3">
      <c r="A303" s="8" t="s">
        <v>71</v>
      </c>
      <c r="B303" s="9" t="s">
        <v>270</v>
      </c>
      <c r="C303" s="9" t="s">
        <v>608</v>
      </c>
      <c r="D303" s="9"/>
      <c r="E303" s="12" t="s">
        <v>580</v>
      </c>
      <c r="F303" s="8" t="s">
        <v>33</v>
      </c>
      <c r="G303" s="19" t="s">
        <v>18</v>
      </c>
      <c r="H303" s="12"/>
      <c r="I303" s="8">
        <v>0</v>
      </c>
    </row>
    <row r="304" spans="1:9" x14ac:dyDescent="0.3">
      <c r="A304" s="8" t="s">
        <v>71</v>
      </c>
      <c r="B304" s="9" t="s">
        <v>538</v>
      </c>
      <c r="C304" s="9" t="s">
        <v>630</v>
      </c>
      <c r="D304" s="9"/>
      <c r="E304" s="12" t="s">
        <v>631</v>
      </c>
      <c r="F304" s="8" t="s">
        <v>35</v>
      </c>
      <c r="G304" s="19" t="s">
        <v>18</v>
      </c>
      <c r="H304" s="12"/>
      <c r="I304" s="8">
        <v>1</v>
      </c>
    </row>
    <row r="305" spans="1:9" x14ac:dyDescent="0.3">
      <c r="A305" s="8" t="s">
        <v>71</v>
      </c>
      <c r="B305" s="9" t="s">
        <v>538</v>
      </c>
      <c r="C305" s="9" t="s">
        <v>97</v>
      </c>
      <c r="D305" s="9"/>
      <c r="E305" s="12" t="s">
        <v>632</v>
      </c>
      <c r="F305" s="8" t="s">
        <v>35</v>
      </c>
      <c r="G305" s="36" t="s">
        <v>18</v>
      </c>
      <c r="H305" s="12" t="s">
        <v>633</v>
      </c>
      <c r="I305" s="8">
        <v>0</v>
      </c>
    </row>
    <row r="306" spans="1:9" ht="26.4" x14ac:dyDescent="0.3">
      <c r="A306" s="8" t="s">
        <v>71</v>
      </c>
      <c r="B306" s="9" t="s">
        <v>538</v>
      </c>
      <c r="C306" s="8" t="s">
        <v>634</v>
      </c>
      <c r="D306" s="9"/>
      <c r="E306" s="12" t="s">
        <v>635</v>
      </c>
      <c r="F306" s="8" t="s">
        <v>33</v>
      </c>
      <c r="G306" s="36" t="s">
        <v>18</v>
      </c>
      <c r="H306" s="12" t="s">
        <v>636</v>
      </c>
      <c r="I306" s="8">
        <v>0</v>
      </c>
    </row>
    <row r="307" spans="1:9" x14ac:dyDescent="0.3">
      <c r="A307" s="8" t="s">
        <v>71</v>
      </c>
      <c r="B307" s="9" t="s">
        <v>538</v>
      </c>
      <c r="C307" s="9" t="s">
        <v>196</v>
      </c>
      <c r="D307" s="9"/>
      <c r="E307" s="12" t="s">
        <v>637</v>
      </c>
      <c r="F307" s="8" t="s">
        <v>33</v>
      </c>
      <c r="G307" s="36" t="s">
        <v>18</v>
      </c>
      <c r="H307" s="12" t="s">
        <v>633</v>
      </c>
      <c r="I307" s="8">
        <v>0</v>
      </c>
    </row>
    <row r="308" spans="1:9" x14ac:dyDescent="0.3">
      <c r="A308" s="8" t="s">
        <v>71</v>
      </c>
      <c r="B308" s="9" t="s">
        <v>538</v>
      </c>
      <c r="C308" s="9" t="s">
        <v>638</v>
      </c>
      <c r="D308" s="9"/>
      <c r="E308" s="12" t="s">
        <v>580</v>
      </c>
      <c r="F308" s="8" t="s">
        <v>33</v>
      </c>
      <c r="G308" s="19" t="s">
        <v>18</v>
      </c>
      <c r="H308" s="12" t="s">
        <v>176</v>
      </c>
      <c r="I308" s="8">
        <v>0</v>
      </c>
    </row>
    <row r="309" spans="1:9" x14ac:dyDescent="0.3">
      <c r="A309" s="8" t="s">
        <v>71</v>
      </c>
      <c r="B309" s="9" t="s">
        <v>538</v>
      </c>
      <c r="C309" s="9" t="s">
        <v>639</v>
      </c>
      <c r="D309" s="9"/>
      <c r="E309" s="12" t="s">
        <v>640</v>
      </c>
      <c r="F309" s="8" t="s">
        <v>35</v>
      </c>
      <c r="G309" s="36" t="s">
        <v>18</v>
      </c>
      <c r="H309" s="12" t="s">
        <v>641</v>
      </c>
      <c r="I309" s="8">
        <v>0</v>
      </c>
    </row>
    <row r="310" spans="1:9" ht="39.6" x14ac:dyDescent="0.3">
      <c r="A310" s="8" t="s">
        <v>71</v>
      </c>
      <c r="B310" s="9" t="s">
        <v>538</v>
      </c>
      <c r="C310" s="9" t="s">
        <v>642</v>
      </c>
      <c r="D310" s="9"/>
      <c r="E310" s="12" t="s">
        <v>643</v>
      </c>
      <c r="F310" s="8" t="s">
        <v>33</v>
      </c>
      <c r="G310" s="21" t="s">
        <v>20</v>
      </c>
      <c r="H310" s="12" t="s">
        <v>644</v>
      </c>
      <c r="I310" s="8">
        <v>0</v>
      </c>
    </row>
    <row r="311" spans="1:9" x14ac:dyDescent="0.3">
      <c r="A311" s="8" t="s">
        <v>71</v>
      </c>
      <c r="B311" s="9" t="s">
        <v>645</v>
      </c>
      <c r="C311" s="9" t="s">
        <v>171</v>
      </c>
      <c r="D311" s="9"/>
      <c r="E311" s="12" t="s">
        <v>646</v>
      </c>
      <c r="F311" s="8" t="s">
        <v>35</v>
      </c>
      <c r="G311" s="19" t="s">
        <v>18</v>
      </c>
      <c r="H311" s="12"/>
      <c r="I311" s="8">
        <v>1</v>
      </c>
    </row>
    <row r="312" spans="1:9" x14ac:dyDescent="0.3">
      <c r="A312" s="8" t="s">
        <v>71</v>
      </c>
      <c r="B312" s="9" t="s">
        <v>645</v>
      </c>
      <c r="C312" s="9" t="s">
        <v>38</v>
      </c>
      <c r="D312" s="9"/>
      <c r="E312" s="12" t="s">
        <v>580</v>
      </c>
      <c r="F312" s="8" t="s">
        <v>33</v>
      </c>
      <c r="G312" s="19" t="s">
        <v>18</v>
      </c>
      <c r="H312" s="12"/>
      <c r="I312" s="8">
        <v>0</v>
      </c>
    </row>
    <row r="313" spans="1:9" x14ac:dyDescent="0.3">
      <c r="A313" s="8" t="s">
        <v>71</v>
      </c>
      <c r="B313" s="9" t="s">
        <v>645</v>
      </c>
      <c r="C313" s="9" t="s">
        <v>255</v>
      </c>
      <c r="D313" s="9"/>
      <c r="E313" s="12" t="s">
        <v>580</v>
      </c>
      <c r="F313" s="8" t="s">
        <v>33</v>
      </c>
      <c r="G313" s="19" t="s">
        <v>18</v>
      </c>
      <c r="H313" s="12" t="s">
        <v>176</v>
      </c>
      <c r="I313" s="8">
        <v>0</v>
      </c>
    </row>
    <row r="314" spans="1:9" x14ac:dyDescent="0.3">
      <c r="A314" s="8" t="s">
        <v>71</v>
      </c>
      <c r="B314" s="9" t="s">
        <v>645</v>
      </c>
      <c r="C314" s="9" t="s">
        <v>257</v>
      </c>
      <c r="D314" s="9"/>
      <c r="E314" s="12" t="s">
        <v>580</v>
      </c>
      <c r="F314" s="8" t="s">
        <v>33</v>
      </c>
      <c r="G314" s="19" t="s">
        <v>18</v>
      </c>
      <c r="H314" s="12"/>
      <c r="I314" s="8">
        <v>0</v>
      </c>
    </row>
    <row r="315" spans="1:9" x14ac:dyDescent="0.3">
      <c r="A315" s="8" t="s">
        <v>71</v>
      </c>
      <c r="B315" s="9" t="s">
        <v>645</v>
      </c>
      <c r="C315" s="9" t="s">
        <v>97</v>
      </c>
      <c r="D315" s="9"/>
      <c r="E315" s="12" t="s">
        <v>580</v>
      </c>
      <c r="F315" s="8" t="s">
        <v>33</v>
      </c>
      <c r="G315" s="19" t="s">
        <v>18</v>
      </c>
      <c r="H315" s="12"/>
      <c r="I315" s="8">
        <v>0</v>
      </c>
    </row>
    <row r="316" spans="1:9" x14ac:dyDescent="0.3">
      <c r="A316" s="8" t="s">
        <v>76</v>
      </c>
      <c r="B316" s="9" t="s">
        <v>604</v>
      </c>
      <c r="C316" s="9" t="s">
        <v>171</v>
      </c>
      <c r="D316" s="9"/>
      <c r="E316" s="12" t="s">
        <v>647</v>
      </c>
      <c r="F316" s="8" t="s">
        <v>35</v>
      </c>
      <c r="G316" s="19" t="s">
        <v>18</v>
      </c>
      <c r="H316" s="12"/>
      <c r="I316" s="8">
        <v>1</v>
      </c>
    </row>
    <row r="317" spans="1:9" x14ac:dyDescent="0.3">
      <c r="A317" s="8" t="s">
        <v>76</v>
      </c>
      <c r="B317" s="9" t="s">
        <v>604</v>
      </c>
      <c r="C317" s="9" t="s">
        <v>608</v>
      </c>
      <c r="D317" s="9"/>
      <c r="E317" s="12" t="s">
        <v>619</v>
      </c>
      <c r="F317" s="8" t="s">
        <v>35</v>
      </c>
      <c r="G317" s="19" t="s">
        <v>18</v>
      </c>
      <c r="H317" s="12"/>
      <c r="I317" s="8">
        <v>0</v>
      </c>
    </row>
    <row r="318" spans="1:9" x14ac:dyDescent="0.3">
      <c r="A318" s="8" t="s">
        <v>76</v>
      </c>
      <c r="B318" s="9" t="s">
        <v>604</v>
      </c>
      <c r="C318" s="9" t="s">
        <v>610</v>
      </c>
      <c r="D318" s="9"/>
      <c r="E318" s="12" t="s">
        <v>648</v>
      </c>
      <c r="F318" s="8" t="s">
        <v>35</v>
      </c>
      <c r="G318" s="19" t="s">
        <v>18</v>
      </c>
      <c r="H318" s="12"/>
      <c r="I318" s="8">
        <v>0</v>
      </c>
    </row>
    <row r="319" spans="1:9" x14ac:dyDescent="0.3">
      <c r="A319" s="8" t="s">
        <v>76</v>
      </c>
      <c r="B319" s="9" t="s">
        <v>604</v>
      </c>
      <c r="C319" s="9" t="s">
        <v>38</v>
      </c>
      <c r="D319" s="9"/>
      <c r="E319" s="12" t="s">
        <v>252</v>
      </c>
      <c r="F319" s="8" t="s">
        <v>35</v>
      </c>
      <c r="G319" s="19" t="s">
        <v>18</v>
      </c>
      <c r="H319" s="12"/>
      <c r="I319" s="8">
        <v>0</v>
      </c>
    </row>
    <row r="320" spans="1:9" x14ac:dyDescent="0.3">
      <c r="A320" s="8" t="s">
        <v>76</v>
      </c>
      <c r="B320" s="9" t="s">
        <v>604</v>
      </c>
      <c r="C320" s="9" t="s">
        <v>468</v>
      </c>
      <c r="D320" s="9" t="s">
        <v>468</v>
      </c>
      <c r="E320" s="12" t="s">
        <v>616</v>
      </c>
      <c r="F320" s="8" t="s">
        <v>31</v>
      </c>
      <c r="G320" s="19" t="s">
        <v>18</v>
      </c>
      <c r="H320" s="12" t="s">
        <v>166</v>
      </c>
      <c r="I320" s="8">
        <v>0</v>
      </c>
    </row>
    <row r="321" spans="1:9" x14ac:dyDescent="0.3">
      <c r="A321" s="8" t="s">
        <v>76</v>
      </c>
      <c r="B321" s="9" t="s">
        <v>604</v>
      </c>
      <c r="C321" s="9" t="s">
        <v>547</v>
      </c>
      <c r="D321" s="9" t="s">
        <v>468</v>
      </c>
      <c r="E321" s="12" t="s">
        <v>617</v>
      </c>
      <c r="F321" s="8" t="s">
        <v>35</v>
      </c>
      <c r="G321" s="19" t="s">
        <v>18</v>
      </c>
      <c r="H321" s="12" t="s">
        <v>201</v>
      </c>
      <c r="I321" s="8">
        <v>0</v>
      </c>
    </row>
    <row r="322" spans="1:9" x14ac:dyDescent="0.3">
      <c r="A322" s="8" t="s">
        <v>76</v>
      </c>
      <c r="B322" s="9" t="s">
        <v>604</v>
      </c>
      <c r="C322" s="9" t="s">
        <v>618</v>
      </c>
      <c r="D322" s="9" t="s">
        <v>468</v>
      </c>
      <c r="E322" s="12" t="s">
        <v>649</v>
      </c>
      <c r="F322" s="8" t="s">
        <v>35</v>
      </c>
      <c r="G322" s="19" t="s">
        <v>18</v>
      </c>
      <c r="H322" s="12" t="s">
        <v>201</v>
      </c>
      <c r="I322" s="8">
        <v>0</v>
      </c>
    </row>
    <row r="323" spans="1:9" x14ac:dyDescent="0.3">
      <c r="A323" s="8" t="s">
        <v>76</v>
      </c>
      <c r="B323" s="9" t="s">
        <v>604</v>
      </c>
      <c r="C323" s="9" t="s">
        <v>620</v>
      </c>
      <c r="D323" s="9" t="s">
        <v>468</v>
      </c>
      <c r="E323" s="12" t="s">
        <v>650</v>
      </c>
      <c r="F323" s="8" t="s">
        <v>31</v>
      </c>
      <c r="G323" s="19" t="s">
        <v>18</v>
      </c>
      <c r="H323" s="12" t="s">
        <v>201</v>
      </c>
      <c r="I323" s="8">
        <v>0</v>
      </c>
    </row>
    <row r="324" spans="1:9" x14ac:dyDescent="0.3">
      <c r="A324" s="8" t="s">
        <v>76</v>
      </c>
      <c r="B324" s="9" t="s">
        <v>270</v>
      </c>
      <c r="C324" s="9" t="s">
        <v>624</v>
      </c>
      <c r="D324" s="9"/>
      <c r="E324" s="12" t="s">
        <v>651</v>
      </c>
      <c r="F324" s="8" t="s">
        <v>35</v>
      </c>
      <c r="G324" s="19" t="s">
        <v>18</v>
      </c>
      <c r="H324" s="12"/>
      <c r="I324" s="8">
        <v>1</v>
      </c>
    </row>
    <row r="325" spans="1:9" x14ac:dyDescent="0.3">
      <c r="A325" s="8" t="s">
        <v>76</v>
      </c>
      <c r="B325" s="9" t="s">
        <v>270</v>
      </c>
      <c r="C325" s="9" t="s">
        <v>626</v>
      </c>
      <c r="D325" s="9"/>
      <c r="E325" s="12" t="s">
        <v>651</v>
      </c>
      <c r="F325" s="8" t="s">
        <v>35</v>
      </c>
      <c r="G325" s="19" t="s">
        <v>18</v>
      </c>
      <c r="H325" s="12"/>
      <c r="I325" s="8">
        <v>0</v>
      </c>
    </row>
    <row r="326" spans="1:9" x14ac:dyDescent="0.3">
      <c r="A326" s="8" t="s">
        <v>76</v>
      </c>
      <c r="B326" s="9" t="s">
        <v>270</v>
      </c>
      <c r="C326" s="9" t="s">
        <v>608</v>
      </c>
      <c r="D326" s="9"/>
      <c r="E326" s="12" t="s">
        <v>652</v>
      </c>
      <c r="F326" s="8" t="s">
        <v>35</v>
      </c>
      <c r="G326" s="19" t="s">
        <v>18</v>
      </c>
      <c r="H326" s="12"/>
      <c r="I326" s="8">
        <v>0</v>
      </c>
    </row>
    <row r="327" spans="1:9" x14ac:dyDescent="0.3">
      <c r="A327" s="8" t="s">
        <v>76</v>
      </c>
      <c r="B327" s="9" t="s">
        <v>270</v>
      </c>
      <c r="C327" s="9" t="s">
        <v>628</v>
      </c>
      <c r="D327" s="9"/>
      <c r="E327" s="12" t="s">
        <v>653</v>
      </c>
      <c r="F327" s="8" t="s">
        <v>35</v>
      </c>
      <c r="G327" s="19" t="s">
        <v>18</v>
      </c>
      <c r="H327" s="12"/>
      <c r="I327" s="8">
        <v>0</v>
      </c>
    </row>
    <row r="328" spans="1:9" x14ac:dyDescent="0.3">
      <c r="A328" s="8" t="s">
        <v>76</v>
      </c>
      <c r="B328" s="9" t="s">
        <v>270</v>
      </c>
      <c r="C328" s="9" t="s">
        <v>273</v>
      </c>
      <c r="D328" s="9"/>
      <c r="E328" s="12" t="s">
        <v>653</v>
      </c>
      <c r="F328" s="8" t="s">
        <v>35</v>
      </c>
      <c r="G328" s="19" t="s">
        <v>18</v>
      </c>
      <c r="H328" s="12"/>
      <c r="I328" s="8">
        <v>0</v>
      </c>
    </row>
    <row r="329" spans="1:9" x14ac:dyDescent="0.3">
      <c r="A329" s="8" t="s">
        <v>76</v>
      </c>
      <c r="B329" s="9" t="s">
        <v>270</v>
      </c>
      <c r="C329" s="9" t="s">
        <v>541</v>
      </c>
      <c r="D329" s="9"/>
      <c r="E329" s="12" t="s">
        <v>654</v>
      </c>
      <c r="F329" s="8" t="s">
        <v>35</v>
      </c>
      <c r="G329" s="19" t="s">
        <v>18</v>
      </c>
      <c r="H329" s="12"/>
      <c r="I329" s="8">
        <v>0</v>
      </c>
    </row>
    <row r="330" spans="1:9" x14ac:dyDescent="0.3">
      <c r="A330" s="8" t="s">
        <v>76</v>
      </c>
      <c r="B330" s="9" t="s">
        <v>655</v>
      </c>
      <c r="C330" s="9" t="s">
        <v>171</v>
      </c>
      <c r="D330" s="9"/>
      <c r="E330" s="12" t="s">
        <v>656</v>
      </c>
      <c r="F330" s="8" t="s">
        <v>35</v>
      </c>
      <c r="G330" s="19" t="s">
        <v>18</v>
      </c>
      <c r="H330" s="12"/>
      <c r="I330" s="8">
        <v>1</v>
      </c>
    </row>
    <row r="331" spans="1:9" x14ac:dyDescent="0.3">
      <c r="A331" s="8" t="s">
        <v>76</v>
      </c>
      <c r="B331" s="9" t="s">
        <v>655</v>
      </c>
      <c r="C331" s="9" t="s">
        <v>657</v>
      </c>
      <c r="D331" s="9"/>
      <c r="E331" s="12" t="s">
        <v>658</v>
      </c>
      <c r="F331" s="8" t="s">
        <v>35</v>
      </c>
      <c r="G331" s="19" t="s">
        <v>18</v>
      </c>
      <c r="H331" s="12" t="s">
        <v>659</v>
      </c>
      <c r="I331" s="8">
        <v>0</v>
      </c>
    </row>
    <row r="332" spans="1:9" x14ac:dyDescent="0.3">
      <c r="A332" s="8" t="s">
        <v>76</v>
      </c>
      <c r="B332" s="9" t="s">
        <v>645</v>
      </c>
      <c r="C332" s="9" t="s">
        <v>171</v>
      </c>
      <c r="D332" s="9"/>
      <c r="E332" s="12" t="s">
        <v>660</v>
      </c>
      <c r="F332" s="8" t="s">
        <v>35</v>
      </c>
      <c r="G332" s="19" t="s">
        <v>18</v>
      </c>
      <c r="H332" s="12"/>
      <c r="I332" s="8">
        <v>1</v>
      </c>
    </row>
    <row r="333" spans="1:9" x14ac:dyDescent="0.3">
      <c r="A333" s="8" t="s">
        <v>76</v>
      </c>
      <c r="B333" s="9" t="s">
        <v>645</v>
      </c>
      <c r="C333" s="9" t="s">
        <v>38</v>
      </c>
      <c r="D333" s="9"/>
      <c r="E333" s="12" t="s">
        <v>661</v>
      </c>
      <c r="F333" s="8" t="s">
        <v>35</v>
      </c>
      <c r="G333" s="19" t="s">
        <v>18</v>
      </c>
      <c r="H333" s="12"/>
      <c r="I333" s="8">
        <v>0</v>
      </c>
    </row>
    <row r="334" spans="1:9" x14ac:dyDescent="0.3">
      <c r="A334" s="8" t="s">
        <v>76</v>
      </c>
      <c r="B334" s="9" t="s">
        <v>645</v>
      </c>
      <c r="C334" s="9" t="s">
        <v>255</v>
      </c>
      <c r="D334" s="9"/>
      <c r="E334" s="12" t="s">
        <v>662</v>
      </c>
      <c r="F334" s="8" t="s">
        <v>35</v>
      </c>
      <c r="G334" s="19" t="s">
        <v>18</v>
      </c>
      <c r="H334" s="12" t="s">
        <v>176</v>
      </c>
      <c r="I334" s="8">
        <v>0</v>
      </c>
    </row>
    <row r="335" spans="1:9" x14ac:dyDescent="0.3">
      <c r="A335" s="8" t="s">
        <v>76</v>
      </c>
      <c r="B335" s="9" t="s">
        <v>645</v>
      </c>
      <c r="C335" s="9" t="s">
        <v>257</v>
      </c>
      <c r="D335" s="9"/>
      <c r="E335" s="12" t="s">
        <v>663</v>
      </c>
      <c r="F335" s="8" t="s">
        <v>35</v>
      </c>
      <c r="G335" s="19" t="s">
        <v>18</v>
      </c>
      <c r="H335" s="12"/>
      <c r="I335" s="8">
        <v>0</v>
      </c>
    </row>
    <row r="336" spans="1:9" x14ac:dyDescent="0.3">
      <c r="A336" s="8" t="s">
        <v>76</v>
      </c>
      <c r="B336" s="9" t="s">
        <v>645</v>
      </c>
      <c r="C336" s="9" t="s">
        <v>97</v>
      </c>
      <c r="D336" s="9"/>
      <c r="E336" s="12" t="s">
        <v>664</v>
      </c>
      <c r="F336" s="8" t="s">
        <v>35</v>
      </c>
      <c r="G336" s="19" t="s">
        <v>18</v>
      </c>
      <c r="H336" s="12"/>
      <c r="I336" s="8">
        <v>0</v>
      </c>
    </row>
    <row r="337" spans="1:9" x14ac:dyDescent="0.3">
      <c r="A337" s="8" t="s">
        <v>80</v>
      </c>
      <c r="B337" s="9" t="s">
        <v>270</v>
      </c>
      <c r="C337" s="9" t="s">
        <v>624</v>
      </c>
      <c r="D337" s="9"/>
      <c r="E337" s="12" t="s">
        <v>665</v>
      </c>
      <c r="F337" s="8" t="s">
        <v>35</v>
      </c>
      <c r="G337" s="19" t="s">
        <v>18</v>
      </c>
      <c r="H337" s="12" t="s">
        <v>666</v>
      </c>
      <c r="I337" s="8">
        <v>1</v>
      </c>
    </row>
    <row r="338" spans="1:9" x14ac:dyDescent="0.3">
      <c r="A338" s="8" t="s">
        <v>80</v>
      </c>
      <c r="B338" s="9" t="s">
        <v>270</v>
      </c>
      <c r="C338" s="9" t="s">
        <v>626</v>
      </c>
      <c r="D338" s="9"/>
      <c r="E338" s="12" t="s">
        <v>667</v>
      </c>
      <c r="F338" s="8" t="s">
        <v>35</v>
      </c>
      <c r="G338" s="19" t="s">
        <v>18</v>
      </c>
      <c r="H338" s="12"/>
      <c r="I338" s="8">
        <v>0</v>
      </c>
    </row>
    <row r="339" spans="1:9" x14ac:dyDescent="0.3">
      <c r="A339" s="8" t="s">
        <v>80</v>
      </c>
      <c r="B339" s="9" t="s">
        <v>270</v>
      </c>
      <c r="C339" s="9" t="s">
        <v>541</v>
      </c>
      <c r="D339" s="9"/>
      <c r="E339" s="12" t="s">
        <v>668</v>
      </c>
      <c r="F339" s="8" t="s">
        <v>35</v>
      </c>
      <c r="G339" s="19" t="s">
        <v>18</v>
      </c>
      <c r="H339" s="12"/>
      <c r="I339" s="8">
        <v>0</v>
      </c>
    </row>
    <row r="340" spans="1:9" x14ac:dyDescent="0.3">
      <c r="A340" s="8" t="s">
        <v>80</v>
      </c>
      <c r="B340" s="9" t="s">
        <v>270</v>
      </c>
      <c r="C340" s="9" t="s">
        <v>669</v>
      </c>
      <c r="D340" s="9"/>
      <c r="E340" s="12" t="s">
        <v>670</v>
      </c>
      <c r="F340" s="8" t="s">
        <v>35</v>
      </c>
      <c r="G340" s="19" t="s">
        <v>18</v>
      </c>
      <c r="H340" s="12"/>
      <c r="I340" s="8">
        <v>0</v>
      </c>
    </row>
    <row r="341" spans="1:9" x14ac:dyDescent="0.3">
      <c r="A341" s="8" t="s">
        <v>80</v>
      </c>
      <c r="B341" s="9" t="s">
        <v>270</v>
      </c>
      <c r="C341" s="9" t="s">
        <v>608</v>
      </c>
      <c r="D341" s="9"/>
      <c r="E341" s="12" t="s">
        <v>671</v>
      </c>
      <c r="F341" s="8" t="s">
        <v>35</v>
      </c>
      <c r="G341" s="19" t="s">
        <v>18</v>
      </c>
      <c r="H341" s="12"/>
      <c r="I341" s="8">
        <v>0</v>
      </c>
    </row>
    <row r="342" spans="1:9" x14ac:dyDescent="0.3">
      <c r="A342" s="8" t="s">
        <v>80</v>
      </c>
      <c r="B342" s="9" t="s">
        <v>270</v>
      </c>
      <c r="C342" s="9" t="s">
        <v>273</v>
      </c>
      <c r="D342" s="9"/>
      <c r="E342" s="12" t="s">
        <v>672</v>
      </c>
      <c r="F342" s="8" t="s">
        <v>35</v>
      </c>
      <c r="G342" s="19" t="s">
        <v>18</v>
      </c>
      <c r="H342" s="12"/>
      <c r="I342" s="8">
        <v>0</v>
      </c>
    </row>
    <row r="343" spans="1:9" x14ac:dyDescent="0.3">
      <c r="A343" s="8" t="s">
        <v>80</v>
      </c>
      <c r="B343" s="9" t="s">
        <v>270</v>
      </c>
      <c r="C343" s="9" t="s">
        <v>271</v>
      </c>
      <c r="D343" s="9"/>
      <c r="E343" s="12" t="s">
        <v>580</v>
      </c>
      <c r="F343" s="8" t="s">
        <v>33</v>
      </c>
      <c r="G343" s="19" t="s">
        <v>18</v>
      </c>
      <c r="H343" s="12"/>
      <c r="I343" s="8">
        <v>0</v>
      </c>
    </row>
    <row r="344" spans="1:9" x14ac:dyDescent="0.3">
      <c r="A344" s="8" t="s">
        <v>80</v>
      </c>
      <c r="B344" s="9" t="s">
        <v>538</v>
      </c>
      <c r="C344" s="9" t="s">
        <v>630</v>
      </c>
      <c r="D344" s="9"/>
      <c r="E344" s="12" t="s">
        <v>673</v>
      </c>
      <c r="F344" s="8" t="s">
        <v>35</v>
      </c>
      <c r="G344" s="36" t="s">
        <v>18</v>
      </c>
      <c r="H344" s="12" t="s">
        <v>633</v>
      </c>
      <c r="I344" s="8">
        <v>1</v>
      </c>
    </row>
    <row r="345" spans="1:9" ht="26.4" x14ac:dyDescent="0.3">
      <c r="A345" s="8" t="s">
        <v>80</v>
      </c>
      <c r="B345" s="9" t="s">
        <v>538</v>
      </c>
      <c r="C345" s="9" t="s">
        <v>97</v>
      </c>
      <c r="D345" s="9"/>
      <c r="E345" s="12" t="s">
        <v>674</v>
      </c>
      <c r="F345" s="8" t="s">
        <v>35</v>
      </c>
      <c r="G345" s="19" t="s">
        <v>18</v>
      </c>
      <c r="H345" s="12"/>
      <c r="I345" s="8">
        <v>0</v>
      </c>
    </row>
    <row r="346" spans="1:9" x14ac:dyDescent="0.3">
      <c r="A346" s="8" t="s">
        <v>80</v>
      </c>
      <c r="B346" s="9" t="s">
        <v>538</v>
      </c>
      <c r="C346" s="9" t="s">
        <v>638</v>
      </c>
      <c r="D346" s="9"/>
      <c r="E346" s="12" t="s">
        <v>675</v>
      </c>
      <c r="F346" s="8" t="s">
        <v>35</v>
      </c>
      <c r="G346" s="19" t="s">
        <v>18</v>
      </c>
      <c r="H346" s="12" t="s">
        <v>676</v>
      </c>
      <c r="I346" s="8">
        <v>0</v>
      </c>
    </row>
    <row r="347" spans="1:9" x14ac:dyDescent="0.3">
      <c r="A347" s="8" t="s">
        <v>80</v>
      </c>
      <c r="B347" s="9" t="s">
        <v>538</v>
      </c>
      <c r="C347" s="9" t="s">
        <v>677</v>
      </c>
      <c r="D347" s="9"/>
      <c r="E347" s="12" t="s">
        <v>678</v>
      </c>
      <c r="F347" s="8" t="s">
        <v>35</v>
      </c>
      <c r="G347" s="19" t="s">
        <v>18</v>
      </c>
      <c r="H347" s="12"/>
      <c r="I347" s="8">
        <v>0</v>
      </c>
    </row>
    <row r="348" spans="1:9" ht="39.6" x14ac:dyDescent="0.3">
      <c r="A348" s="8" t="s">
        <v>80</v>
      </c>
      <c r="B348" s="8" t="s">
        <v>538</v>
      </c>
      <c r="C348" s="8" t="s">
        <v>679</v>
      </c>
      <c r="D348" s="9"/>
      <c r="E348" s="12" t="s">
        <v>680</v>
      </c>
      <c r="F348" s="8" t="s">
        <v>31</v>
      </c>
      <c r="G348" s="37" t="s">
        <v>28</v>
      </c>
      <c r="H348" s="12" t="s">
        <v>681</v>
      </c>
      <c r="I348" s="8">
        <v>1</v>
      </c>
    </row>
    <row r="349" spans="1:9" ht="26.4" x14ac:dyDescent="0.3">
      <c r="A349" s="8" t="s">
        <v>80</v>
      </c>
      <c r="B349" s="8" t="s">
        <v>682</v>
      </c>
      <c r="C349" s="8" t="s">
        <v>682</v>
      </c>
      <c r="D349" s="9"/>
      <c r="E349" s="12" t="s">
        <v>683</v>
      </c>
      <c r="F349" s="8" t="s">
        <v>31</v>
      </c>
      <c r="G349" s="37" t="s">
        <v>28</v>
      </c>
      <c r="H349" s="12" t="s">
        <v>684</v>
      </c>
      <c r="I349" s="8">
        <v>0</v>
      </c>
    </row>
    <row r="350" spans="1:9" x14ac:dyDescent="0.3">
      <c r="A350" s="8" t="s">
        <v>80</v>
      </c>
      <c r="B350" s="9" t="s">
        <v>685</v>
      </c>
      <c r="C350" s="9" t="s">
        <v>686</v>
      </c>
      <c r="D350" s="9"/>
      <c r="E350" s="12" t="s">
        <v>687</v>
      </c>
      <c r="F350" s="8" t="s">
        <v>35</v>
      </c>
      <c r="G350" s="21" t="s">
        <v>20</v>
      </c>
      <c r="H350" s="12" t="s">
        <v>676</v>
      </c>
      <c r="I350" s="8">
        <v>1</v>
      </c>
    </row>
    <row r="351" spans="1:9" x14ac:dyDescent="0.3">
      <c r="A351" s="8" t="s">
        <v>80</v>
      </c>
      <c r="B351" s="9" t="s">
        <v>685</v>
      </c>
      <c r="C351" s="9" t="s">
        <v>688</v>
      </c>
      <c r="D351" s="9"/>
      <c r="E351" s="12" t="s">
        <v>689</v>
      </c>
      <c r="F351" s="8" t="s">
        <v>35</v>
      </c>
      <c r="G351" s="21" t="s">
        <v>20</v>
      </c>
      <c r="H351" s="12"/>
      <c r="I351" s="8">
        <v>0</v>
      </c>
    </row>
    <row r="352" spans="1:9" x14ac:dyDescent="0.3">
      <c r="A352" s="8" t="s">
        <v>80</v>
      </c>
      <c r="B352" s="9" t="s">
        <v>685</v>
      </c>
      <c r="C352" s="9" t="s">
        <v>171</v>
      </c>
      <c r="D352" s="9"/>
      <c r="E352" s="12" t="s">
        <v>690</v>
      </c>
      <c r="F352" s="8" t="s">
        <v>35</v>
      </c>
      <c r="G352" s="21" t="s">
        <v>20</v>
      </c>
      <c r="H352" s="12"/>
      <c r="I352" s="8">
        <v>0</v>
      </c>
    </row>
    <row r="353" spans="1:9" x14ac:dyDescent="0.3">
      <c r="A353" s="8" t="s">
        <v>80</v>
      </c>
      <c r="B353" s="9" t="s">
        <v>685</v>
      </c>
      <c r="C353" s="9" t="s">
        <v>194</v>
      </c>
      <c r="D353" s="9"/>
      <c r="E353" s="12" t="s">
        <v>691</v>
      </c>
      <c r="F353" s="8" t="s">
        <v>35</v>
      </c>
      <c r="G353" s="21" t="s">
        <v>20</v>
      </c>
      <c r="H353" s="12"/>
      <c r="I353" s="8">
        <v>0</v>
      </c>
    </row>
    <row r="354" spans="1:9" x14ac:dyDescent="0.3">
      <c r="A354" s="8" t="s">
        <v>80</v>
      </c>
      <c r="B354" s="9" t="s">
        <v>692</v>
      </c>
      <c r="C354" s="9" t="s">
        <v>693</v>
      </c>
      <c r="D354" s="9"/>
      <c r="E354" s="12" t="s">
        <v>694</v>
      </c>
      <c r="F354" s="8" t="s">
        <v>35</v>
      </c>
      <c r="G354" s="21" t="s">
        <v>20</v>
      </c>
      <c r="H354" s="12"/>
      <c r="I354" s="8">
        <v>1</v>
      </c>
    </row>
    <row r="355" spans="1:9" x14ac:dyDescent="0.3">
      <c r="A355" s="8" t="s">
        <v>80</v>
      </c>
      <c r="B355" s="9" t="s">
        <v>692</v>
      </c>
      <c r="C355" s="9" t="s">
        <v>196</v>
      </c>
      <c r="D355" s="9"/>
      <c r="E355" s="12" t="s">
        <v>695</v>
      </c>
      <c r="F355" s="8" t="s">
        <v>35</v>
      </c>
      <c r="G355" s="21" t="s">
        <v>20</v>
      </c>
      <c r="H355" s="12"/>
      <c r="I355" s="8">
        <v>0</v>
      </c>
    </row>
    <row r="356" spans="1:9" x14ac:dyDescent="0.3">
      <c r="A356" s="8" t="s">
        <v>80</v>
      </c>
      <c r="B356" s="9" t="s">
        <v>692</v>
      </c>
      <c r="C356" s="9" t="s">
        <v>696</v>
      </c>
      <c r="D356" s="9"/>
      <c r="E356" s="12" t="s">
        <v>697</v>
      </c>
      <c r="F356" s="8" t="s">
        <v>35</v>
      </c>
      <c r="G356" s="21" t="s">
        <v>20</v>
      </c>
      <c r="H356" s="12"/>
      <c r="I356" s="8">
        <v>0</v>
      </c>
    </row>
    <row r="357" spans="1:9" x14ac:dyDescent="0.3">
      <c r="A357" s="8" t="s">
        <v>80</v>
      </c>
      <c r="B357" s="9" t="s">
        <v>692</v>
      </c>
      <c r="C357" s="9" t="s">
        <v>698</v>
      </c>
      <c r="D357" s="9" t="s">
        <v>698</v>
      </c>
      <c r="E357" s="12" t="s">
        <v>699</v>
      </c>
      <c r="F357" s="8" t="s">
        <v>31</v>
      </c>
      <c r="G357" s="21" t="s">
        <v>20</v>
      </c>
      <c r="H357" s="12" t="s">
        <v>166</v>
      </c>
      <c r="I357" s="8">
        <v>0</v>
      </c>
    </row>
    <row r="358" spans="1:9" x14ac:dyDescent="0.3">
      <c r="A358" s="8" t="s">
        <v>80</v>
      </c>
      <c r="B358" s="9" t="s">
        <v>692</v>
      </c>
      <c r="C358" s="9" t="s">
        <v>275</v>
      </c>
      <c r="D358" s="9" t="s">
        <v>698</v>
      </c>
      <c r="E358" s="12" t="s">
        <v>700</v>
      </c>
      <c r="F358" s="8" t="s">
        <v>31</v>
      </c>
      <c r="G358" s="21" t="s">
        <v>20</v>
      </c>
      <c r="H358" s="12" t="s">
        <v>701</v>
      </c>
      <c r="I358" s="8">
        <v>0</v>
      </c>
    </row>
    <row r="359" spans="1:9" x14ac:dyDescent="0.3">
      <c r="A359" s="8" t="s">
        <v>80</v>
      </c>
      <c r="B359" s="9" t="s">
        <v>692</v>
      </c>
      <c r="C359" s="9" t="s">
        <v>702</v>
      </c>
      <c r="D359" s="9" t="s">
        <v>698</v>
      </c>
      <c r="E359" s="12" t="s">
        <v>703</v>
      </c>
      <c r="F359" s="8" t="s">
        <v>31</v>
      </c>
      <c r="G359" s="21" t="s">
        <v>20</v>
      </c>
      <c r="H359" s="12" t="s">
        <v>701</v>
      </c>
      <c r="I359" s="8">
        <v>0</v>
      </c>
    </row>
    <row r="360" spans="1:9" ht="26.4" x14ac:dyDescent="0.3">
      <c r="A360" s="8" t="s">
        <v>80</v>
      </c>
      <c r="B360" s="9" t="s">
        <v>103</v>
      </c>
      <c r="C360" s="9" t="s">
        <v>704</v>
      </c>
      <c r="D360" s="9"/>
      <c r="E360" s="12" t="s">
        <v>705</v>
      </c>
      <c r="F360" s="8" t="s">
        <v>35</v>
      </c>
      <c r="G360" s="21" t="s">
        <v>20</v>
      </c>
      <c r="H360" s="12" t="s">
        <v>706</v>
      </c>
      <c r="I360" s="8">
        <v>1</v>
      </c>
    </row>
    <row r="361" spans="1:9" ht="26.4" x14ac:dyDescent="0.3">
      <c r="A361" s="8" t="s">
        <v>80</v>
      </c>
      <c r="B361" s="9" t="s">
        <v>103</v>
      </c>
      <c r="C361" s="9" t="s">
        <v>608</v>
      </c>
      <c r="D361" s="9"/>
      <c r="E361" s="12" t="s">
        <v>707</v>
      </c>
      <c r="F361" s="8" t="s">
        <v>35</v>
      </c>
      <c r="G361" s="21" t="s">
        <v>20</v>
      </c>
      <c r="H361" s="12" t="s">
        <v>706</v>
      </c>
      <c r="I361" s="8">
        <v>0</v>
      </c>
    </row>
    <row r="362" spans="1:9" ht="26.4" x14ac:dyDescent="0.3">
      <c r="A362" s="8" t="s">
        <v>80</v>
      </c>
      <c r="B362" s="9" t="s">
        <v>103</v>
      </c>
      <c r="C362" s="9" t="s">
        <v>97</v>
      </c>
      <c r="D362" s="9"/>
      <c r="E362" s="12" t="s">
        <v>708</v>
      </c>
      <c r="F362" s="8" t="s">
        <v>35</v>
      </c>
      <c r="G362" s="21" t="s">
        <v>20</v>
      </c>
      <c r="H362" s="12" t="s">
        <v>706</v>
      </c>
      <c r="I362" s="8">
        <v>0</v>
      </c>
    </row>
    <row r="363" spans="1:9" x14ac:dyDescent="0.3">
      <c r="A363" s="8" t="s">
        <v>80</v>
      </c>
      <c r="B363" s="9" t="s">
        <v>645</v>
      </c>
      <c r="C363" s="9" t="s">
        <v>171</v>
      </c>
      <c r="D363" s="9"/>
      <c r="E363" s="12" t="s">
        <v>709</v>
      </c>
      <c r="F363" s="8" t="s">
        <v>35</v>
      </c>
      <c r="G363" s="19" t="s">
        <v>18</v>
      </c>
      <c r="H363" s="12"/>
      <c r="I363" s="8">
        <v>1</v>
      </c>
    </row>
    <row r="364" spans="1:9" x14ac:dyDescent="0.3">
      <c r="A364" s="8" t="s">
        <v>80</v>
      </c>
      <c r="B364" s="9" t="s">
        <v>645</v>
      </c>
      <c r="C364" s="9" t="s">
        <v>97</v>
      </c>
      <c r="D364" s="9"/>
      <c r="E364" s="12" t="s">
        <v>710</v>
      </c>
      <c r="F364" s="8" t="s">
        <v>35</v>
      </c>
      <c r="G364" s="19" t="s">
        <v>18</v>
      </c>
      <c r="H364" s="12"/>
      <c r="I364" s="8">
        <v>0</v>
      </c>
    </row>
    <row r="365" spans="1:9" x14ac:dyDescent="0.3">
      <c r="A365" s="8" t="s">
        <v>80</v>
      </c>
      <c r="B365" s="9" t="s">
        <v>645</v>
      </c>
      <c r="C365" s="9" t="s">
        <v>711</v>
      </c>
      <c r="D365" s="9"/>
      <c r="E365" s="12" t="s">
        <v>712</v>
      </c>
      <c r="F365" s="8" t="s">
        <v>35</v>
      </c>
      <c r="G365" s="21" t="s">
        <v>20</v>
      </c>
      <c r="H365" s="12"/>
      <c r="I365" s="8">
        <v>0</v>
      </c>
    </row>
    <row r="366" spans="1:9" x14ac:dyDescent="0.3">
      <c r="A366" s="8" t="s">
        <v>83</v>
      </c>
      <c r="B366" s="9" t="s">
        <v>270</v>
      </c>
      <c r="C366" s="9" t="s">
        <v>624</v>
      </c>
      <c r="D366" s="9"/>
      <c r="E366" s="12" t="s">
        <v>713</v>
      </c>
      <c r="F366" s="8" t="s">
        <v>35</v>
      </c>
      <c r="G366" s="19" t="s">
        <v>18</v>
      </c>
      <c r="H366" s="12"/>
      <c r="I366" s="8">
        <v>1</v>
      </c>
    </row>
    <row r="367" spans="1:9" x14ac:dyDescent="0.3">
      <c r="A367" s="8" t="s">
        <v>83</v>
      </c>
      <c r="B367" s="9" t="s">
        <v>270</v>
      </c>
      <c r="C367" s="9" t="s">
        <v>541</v>
      </c>
      <c r="D367" s="9"/>
      <c r="E367" s="12" t="s">
        <v>714</v>
      </c>
      <c r="F367" s="8" t="s">
        <v>35</v>
      </c>
      <c r="G367" s="19" t="s">
        <v>18</v>
      </c>
      <c r="H367" s="12"/>
      <c r="I367" s="8">
        <v>0</v>
      </c>
    </row>
    <row r="368" spans="1:9" x14ac:dyDescent="0.3">
      <c r="A368" s="8" t="s">
        <v>83</v>
      </c>
      <c r="B368" s="9" t="s">
        <v>270</v>
      </c>
      <c r="C368" s="9" t="s">
        <v>669</v>
      </c>
      <c r="D368" s="9"/>
      <c r="E368" s="12" t="s">
        <v>715</v>
      </c>
      <c r="F368" s="8" t="s">
        <v>35</v>
      </c>
      <c r="G368" s="19" t="s">
        <v>18</v>
      </c>
      <c r="H368" s="12"/>
      <c r="I368" s="8">
        <v>0</v>
      </c>
    </row>
    <row r="369" spans="1:9" x14ac:dyDescent="0.3">
      <c r="A369" s="8" t="s">
        <v>83</v>
      </c>
      <c r="B369" s="9" t="s">
        <v>270</v>
      </c>
      <c r="C369" s="9" t="s">
        <v>273</v>
      </c>
      <c r="D369" s="9"/>
      <c r="E369" s="12" t="s">
        <v>716</v>
      </c>
      <c r="F369" s="8" t="s">
        <v>31</v>
      </c>
      <c r="G369" s="19" t="s">
        <v>18</v>
      </c>
      <c r="H369" s="12"/>
      <c r="I369" s="8">
        <v>0</v>
      </c>
    </row>
    <row r="370" spans="1:9" x14ac:dyDescent="0.3">
      <c r="A370" s="8" t="s">
        <v>83</v>
      </c>
      <c r="B370" s="9" t="s">
        <v>270</v>
      </c>
      <c r="C370" s="9" t="s">
        <v>271</v>
      </c>
      <c r="D370" s="9"/>
      <c r="E370" s="12" t="s">
        <v>580</v>
      </c>
      <c r="F370" s="8" t="s">
        <v>33</v>
      </c>
      <c r="G370" s="19" t="s">
        <v>18</v>
      </c>
      <c r="H370" s="12"/>
      <c r="I370" s="8">
        <v>0</v>
      </c>
    </row>
    <row r="371" spans="1:9" x14ac:dyDescent="0.3">
      <c r="A371" s="8" t="s">
        <v>83</v>
      </c>
      <c r="B371" s="9" t="s">
        <v>270</v>
      </c>
      <c r="C371" s="9" t="s">
        <v>717</v>
      </c>
      <c r="D371" s="9"/>
      <c r="E371" s="12" t="s">
        <v>718</v>
      </c>
      <c r="F371" s="8" t="s">
        <v>35</v>
      </c>
      <c r="G371" s="19" t="s">
        <v>18</v>
      </c>
      <c r="H371" s="12"/>
      <c r="I371" s="8">
        <v>0</v>
      </c>
    </row>
    <row r="372" spans="1:9" x14ac:dyDescent="0.3">
      <c r="A372" s="8" t="s">
        <v>83</v>
      </c>
      <c r="B372" s="9" t="s">
        <v>270</v>
      </c>
      <c r="C372" s="9" t="s">
        <v>275</v>
      </c>
      <c r="D372" s="9"/>
      <c r="E372" s="12" t="s">
        <v>580</v>
      </c>
      <c r="F372" s="8" t="s">
        <v>33</v>
      </c>
      <c r="G372" s="19" t="s">
        <v>18</v>
      </c>
      <c r="H372" s="12"/>
      <c r="I372" s="8">
        <v>0</v>
      </c>
    </row>
    <row r="373" spans="1:9" x14ac:dyDescent="0.3">
      <c r="A373" s="8" t="s">
        <v>83</v>
      </c>
      <c r="B373" s="9" t="s">
        <v>655</v>
      </c>
      <c r="C373" s="9" t="s">
        <v>171</v>
      </c>
      <c r="D373" s="9"/>
      <c r="E373" s="12" t="s">
        <v>719</v>
      </c>
      <c r="F373" s="8" t="s">
        <v>35</v>
      </c>
      <c r="G373" s="19" t="s">
        <v>18</v>
      </c>
      <c r="H373" s="12"/>
      <c r="I373" s="8">
        <v>1</v>
      </c>
    </row>
    <row r="374" spans="1:9" x14ac:dyDescent="0.3">
      <c r="A374" s="8" t="s">
        <v>83</v>
      </c>
      <c r="B374" s="9" t="s">
        <v>655</v>
      </c>
      <c r="C374" s="9" t="s">
        <v>657</v>
      </c>
      <c r="D374" s="9"/>
      <c r="E374" s="12" t="s">
        <v>283</v>
      </c>
      <c r="F374" s="8" t="s">
        <v>35</v>
      </c>
      <c r="G374" s="19" t="s">
        <v>18</v>
      </c>
      <c r="H374" s="12" t="s">
        <v>720</v>
      </c>
      <c r="I374" s="8">
        <v>0</v>
      </c>
    </row>
    <row r="375" spans="1:9" x14ac:dyDescent="0.3">
      <c r="A375" s="8" t="s">
        <v>83</v>
      </c>
      <c r="B375" s="9" t="s">
        <v>685</v>
      </c>
      <c r="C375" s="9" t="s">
        <v>171</v>
      </c>
      <c r="D375" s="9"/>
      <c r="E375" s="12" t="s">
        <v>721</v>
      </c>
      <c r="F375" s="8" t="s">
        <v>35</v>
      </c>
      <c r="G375" s="21" t="s">
        <v>20</v>
      </c>
      <c r="H375" s="12"/>
      <c r="I375" s="8">
        <v>1</v>
      </c>
    </row>
    <row r="376" spans="1:9" x14ac:dyDescent="0.3">
      <c r="A376" s="8" t="s">
        <v>83</v>
      </c>
      <c r="B376" s="9" t="s">
        <v>685</v>
      </c>
      <c r="C376" s="9" t="s">
        <v>688</v>
      </c>
      <c r="D376" s="9"/>
      <c r="E376" s="12" t="s">
        <v>722</v>
      </c>
      <c r="F376" s="8" t="s">
        <v>35</v>
      </c>
      <c r="G376" s="21" t="s">
        <v>20</v>
      </c>
      <c r="H376" s="12"/>
      <c r="I376" s="8">
        <v>0</v>
      </c>
    </row>
    <row r="377" spans="1:9" x14ac:dyDescent="0.3">
      <c r="A377" s="8" t="s">
        <v>83</v>
      </c>
      <c r="B377" s="9" t="s">
        <v>685</v>
      </c>
      <c r="C377" s="9" t="s">
        <v>686</v>
      </c>
      <c r="D377" s="9"/>
      <c r="E377" s="12" t="s">
        <v>580</v>
      </c>
      <c r="F377" s="8" t="s">
        <v>33</v>
      </c>
      <c r="G377" s="21" t="s">
        <v>20</v>
      </c>
      <c r="H377" s="12" t="s">
        <v>176</v>
      </c>
      <c r="I377" s="8">
        <v>0</v>
      </c>
    </row>
    <row r="378" spans="1:9" x14ac:dyDescent="0.3">
      <c r="A378" s="8" t="s">
        <v>83</v>
      </c>
      <c r="B378" s="9" t="s">
        <v>538</v>
      </c>
      <c r="C378" s="9" t="s">
        <v>630</v>
      </c>
      <c r="D378" s="9"/>
      <c r="E378" s="12" t="s">
        <v>723</v>
      </c>
      <c r="F378" s="8" t="s">
        <v>35</v>
      </c>
      <c r="G378" s="36" t="s">
        <v>18</v>
      </c>
      <c r="H378" s="12" t="s">
        <v>633</v>
      </c>
      <c r="I378" s="8">
        <v>1</v>
      </c>
    </row>
    <row r="379" spans="1:9" ht="52.8" x14ac:dyDescent="0.3">
      <c r="A379" s="8" t="s">
        <v>83</v>
      </c>
      <c r="B379" s="8" t="s">
        <v>538</v>
      </c>
      <c r="C379" s="8" t="s">
        <v>679</v>
      </c>
      <c r="D379" s="9"/>
      <c r="E379" s="12" t="s">
        <v>680</v>
      </c>
      <c r="F379" s="8" t="s">
        <v>31</v>
      </c>
      <c r="G379" s="37" t="s">
        <v>28</v>
      </c>
      <c r="H379" s="12" t="s">
        <v>724</v>
      </c>
      <c r="I379" s="8">
        <v>1</v>
      </c>
    </row>
    <row r="380" spans="1:9" x14ac:dyDescent="0.3">
      <c r="A380" s="8" t="s">
        <v>83</v>
      </c>
      <c r="B380" s="8" t="s">
        <v>538</v>
      </c>
      <c r="C380" s="8" t="s">
        <v>634</v>
      </c>
      <c r="D380" s="9"/>
      <c r="E380" s="12" t="s">
        <v>725</v>
      </c>
      <c r="F380" s="8" t="s">
        <v>35</v>
      </c>
      <c r="G380" s="37" t="s">
        <v>28</v>
      </c>
      <c r="H380" s="12" t="s">
        <v>726</v>
      </c>
      <c r="I380" s="8">
        <v>0</v>
      </c>
    </row>
    <row r="381" spans="1:9" x14ac:dyDescent="0.3">
      <c r="A381" s="8" t="s">
        <v>83</v>
      </c>
      <c r="B381" s="9" t="s">
        <v>692</v>
      </c>
      <c r="C381" s="9" t="s">
        <v>196</v>
      </c>
      <c r="D381" s="9"/>
      <c r="E381" s="12" t="s">
        <v>727</v>
      </c>
      <c r="F381" s="8" t="s">
        <v>35</v>
      </c>
      <c r="G381" s="21" t="s">
        <v>20</v>
      </c>
      <c r="H381" s="12"/>
      <c r="I381" s="8">
        <v>1</v>
      </c>
    </row>
    <row r="382" spans="1:9" ht="26.4" x14ac:dyDescent="0.3">
      <c r="A382" s="8" t="s">
        <v>83</v>
      </c>
      <c r="B382" s="9" t="s">
        <v>692</v>
      </c>
      <c r="C382" s="9" t="s">
        <v>696</v>
      </c>
      <c r="D382" s="9"/>
      <c r="E382" s="12" t="s">
        <v>728</v>
      </c>
      <c r="F382" s="8" t="s">
        <v>35</v>
      </c>
      <c r="G382" s="21" t="s">
        <v>20</v>
      </c>
      <c r="H382" s="12"/>
      <c r="I382" s="8">
        <v>0</v>
      </c>
    </row>
    <row r="383" spans="1:9" x14ac:dyDescent="0.3">
      <c r="A383" s="8" t="s">
        <v>83</v>
      </c>
      <c r="B383" s="9" t="s">
        <v>692</v>
      </c>
      <c r="C383" s="9" t="s">
        <v>698</v>
      </c>
      <c r="D383" s="9" t="s">
        <v>698</v>
      </c>
      <c r="E383" s="12" t="s">
        <v>729</v>
      </c>
      <c r="F383" s="8" t="s">
        <v>31</v>
      </c>
      <c r="G383" s="21" t="s">
        <v>20</v>
      </c>
      <c r="H383" s="12" t="s">
        <v>166</v>
      </c>
      <c r="I383" s="8">
        <v>0</v>
      </c>
    </row>
    <row r="384" spans="1:9" x14ac:dyDescent="0.3">
      <c r="A384" s="8" t="s">
        <v>83</v>
      </c>
      <c r="B384" s="9" t="s">
        <v>110</v>
      </c>
      <c r="C384" s="9" t="s">
        <v>171</v>
      </c>
      <c r="D384" s="9"/>
      <c r="E384" s="12" t="s">
        <v>730</v>
      </c>
      <c r="F384" s="8" t="s">
        <v>31</v>
      </c>
      <c r="G384" s="38" t="s">
        <v>24</v>
      </c>
      <c r="H384" s="12" t="s">
        <v>731</v>
      </c>
      <c r="I384" s="8">
        <v>1</v>
      </c>
    </row>
    <row r="385" spans="1:9" x14ac:dyDescent="0.3">
      <c r="A385" s="8" t="s">
        <v>83</v>
      </c>
      <c r="B385" s="9" t="s">
        <v>110</v>
      </c>
      <c r="C385" s="9" t="s">
        <v>698</v>
      </c>
      <c r="D385" s="9" t="s">
        <v>698</v>
      </c>
      <c r="E385" s="12" t="s">
        <v>732</v>
      </c>
      <c r="F385" s="8" t="s">
        <v>31</v>
      </c>
      <c r="G385" s="38" t="s">
        <v>24</v>
      </c>
      <c r="H385" s="12" t="s">
        <v>731</v>
      </c>
      <c r="I385" s="8">
        <v>0</v>
      </c>
    </row>
    <row r="386" spans="1:9" x14ac:dyDescent="0.3">
      <c r="A386" s="8" t="s">
        <v>83</v>
      </c>
      <c r="B386" s="9" t="s">
        <v>110</v>
      </c>
      <c r="C386" s="9" t="s">
        <v>733</v>
      </c>
      <c r="D386" s="9" t="s">
        <v>698</v>
      </c>
      <c r="E386" s="12" t="s">
        <v>734</v>
      </c>
      <c r="F386" s="8" t="s">
        <v>31</v>
      </c>
      <c r="G386" s="38" t="s">
        <v>24</v>
      </c>
      <c r="H386" s="12" t="s">
        <v>731</v>
      </c>
      <c r="I386" s="8">
        <v>0</v>
      </c>
    </row>
    <row r="387" spans="1:9" x14ac:dyDescent="0.3">
      <c r="A387" s="8" t="s">
        <v>83</v>
      </c>
      <c r="B387" s="9" t="s">
        <v>645</v>
      </c>
      <c r="C387" s="9" t="s">
        <v>171</v>
      </c>
      <c r="D387" s="9"/>
      <c r="E387" s="12" t="s">
        <v>735</v>
      </c>
      <c r="F387" s="8" t="s">
        <v>35</v>
      </c>
      <c r="G387" s="19" t="s">
        <v>18</v>
      </c>
      <c r="H387" s="12"/>
      <c r="I387" s="8">
        <v>1</v>
      </c>
    </row>
    <row r="388" spans="1:9" x14ac:dyDescent="0.3">
      <c r="A388" s="8" t="s">
        <v>83</v>
      </c>
      <c r="B388" s="9" t="s">
        <v>645</v>
      </c>
      <c r="C388" s="9" t="s">
        <v>255</v>
      </c>
      <c r="D388" s="9"/>
      <c r="E388" s="12" t="s">
        <v>736</v>
      </c>
      <c r="F388" s="8" t="s">
        <v>35</v>
      </c>
      <c r="G388" s="19" t="s">
        <v>18</v>
      </c>
      <c r="H388" s="12" t="s">
        <v>737</v>
      </c>
      <c r="I388" s="8">
        <v>0</v>
      </c>
    </row>
    <row r="389" spans="1:9" x14ac:dyDescent="0.3">
      <c r="A389" s="8" t="s">
        <v>83</v>
      </c>
      <c r="B389" s="9" t="s">
        <v>604</v>
      </c>
      <c r="C389" s="9" t="s">
        <v>171</v>
      </c>
      <c r="D389" s="9"/>
      <c r="E389" s="12" t="s">
        <v>738</v>
      </c>
      <c r="F389" s="8" t="s">
        <v>31</v>
      </c>
      <c r="G389" s="19" t="s">
        <v>18</v>
      </c>
      <c r="H389" s="12"/>
      <c r="I389" s="8">
        <v>1</v>
      </c>
    </row>
    <row r="390" spans="1:9" x14ac:dyDescent="0.3">
      <c r="A390" s="8" t="s">
        <v>83</v>
      </c>
      <c r="B390" s="9" t="s">
        <v>604</v>
      </c>
      <c r="C390" s="9" t="s">
        <v>97</v>
      </c>
      <c r="D390" s="9"/>
      <c r="E390" s="12" t="s">
        <v>738</v>
      </c>
      <c r="F390" s="8" t="s">
        <v>31</v>
      </c>
      <c r="G390" s="19" t="s">
        <v>18</v>
      </c>
      <c r="H390" s="12"/>
      <c r="I390" s="8">
        <v>0</v>
      </c>
    </row>
    <row r="391" spans="1:9" x14ac:dyDescent="0.3">
      <c r="A391" s="8" t="s">
        <v>83</v>
      </c>
      <c r="B391" s="9" t="s">
        <v>604</v>
      </c>
      <c r="C391" s="9" t="s">
        <v>468</v>
      </c>
      <c r="D391" s="9" t="s">
        <v>468</v>
      </c>
      <c r="E391" s="12" t="s">
        <v>739</v>
      </c>
      <c r="F391" s="8" t="s">
        <v>31</v>
      </c>
      <c r="G391" s="19" t="s">
        <v>18</v>
      </c>
      <c r="H391" s="12" t="s">
        <v>166</v>
      </c>
      <c r="I391" s="8">
        <v>0</v>
      </c>
    </row>
    <row r="392" spans="1:9" x14ac:dyDescent="0.3">
      <c r="A392" s="8" t="s">
        <v>83</v>
      </c>
      <c r="B392" s="9" t="s">
        <v>114</v>
      </c>
      <c r="C392" s="9" t="s">
        <v>97</v>
      </c>
      <c r="D392" s="9"/>
      <c r="E392" s="12" t="s">
        <v>740</v>
      </c>
      <c r="F392" s="8" t="s">
        <v>31</v>
      </c>
      <c r="G392" s="38" t="s">
        <v>24</v>
      </c>
      <c r="H392" s="12" t="s">
        <v>731</v>
      </c>
      <c r="I392" s="8">
        <v>1</v>
      </c>
    </row>
    <row r="393" spans="1:9" x14ac:dyDescent="0.3">
      <c r="A393" s="8" t="s">
        <v>83</v>
      </c>
      <c r="B393" s="9" t="s">
        <v>114</v>
      </c>
      <c r="C393" s="9" t="s">
        <v>741</v>
      </c>
      <c r="D393" s="9"/>
      <c r="E393" s="12" t="s">
        <v>740</v>
      </c>
      <c r="F393" s="8" t="s">
        <v>31</v>
      </c>
      <c r="G393" s="38" t="s">
        <v>24</v>
      </c>
      <c r="H393" s="12" t="s">
        <v>731</v>
      </c>
      <c r="I393" s="8">
        <v>0</v>
      </c>
    </row>
    <row r="394" spans="1:9" x14ac:dyDescent="0.3">
      <c r="A394" s="8" t="s">
        <v>83</v>
      </c>
      <c r="B394" s="9" t="s">
        <v>114</v>
      </c>
      <c r="C394" s="9" t="s">
        <v>608</v>
      </c>
      <c r="D394" s="9"/>
      <c r="E394" s="12" t="s">
        <v>742</v>
      </c>
      <c r="F394" s="8" t="s">
        <v>31</v>
      </c>
      <c r="G394" s="38" t="s">
        <v>24</v>
      </c>
      <c r="H394" s="12" t="s">
        <v>731</v>
      </c>
      <c r="I394" s="8">
        <v>0</v>
      </c>
    </row>
    <row r="395" spans="1:9" ht="26.4" x14ac:dyDescent="0.3">
      <c r="A395" s="8" t="s">
        <v>86</v>
      </c>
      <c r="B395" s="9" t="s">
        <v>118</v>
      </c>
      <c r="C395" s="9" t="s">
        <v>171</v>
      </c>
      <c r="D395" s="9"/>
      <c r="E395" s="12" t="s">
        <v>743</v>
      </c>
      <c r="F395" s="8" t="s">
        <v>35</v>
      </c>
      <c r="G395" s="38" t="s">
        <v>24</v>
      </c>
      <c r="H395" s="12" t="s">
        <v>744</v>
      </c>
      <c r="I395" s="8">
        <v>1</v>
      </c>
    </row>
    <row r="396" spans="1:9" x14ac:dyDescent="0.3">
      <c r="A396" s="8" t="s">
        <v>86</v>
      </c>
      <c r="B396" s="9" t="s">
        <v>118</v>
      </c>
      <c r="C396" s="9" t="s">
        <v>97</v>
      </c>
      <c r="D396" s="9"/>
      <c r="E396" s="12" t="s">
        <v>745</v>
      </c>
      <c r="F396" s="8" t="s">
        <v>31</v>
      </c>
      <c r="G396" s="38" t="s">
        <v>24</v>
      </c>
      <c r="H396" s="12" t="s">
        <v>744</v>
      </c>
      <c r="I396" s="8">
        <v>0</v>
      </c>
    </row>
    <row r="397" spans="1:9" ht="26.4" x14ac:dyDescent="0.3">
      <c r="A397" s="8" t="s">
        <v>86</v>
      </c>
      <c r="B397" s="9" t="s">
        <v>118</v>
      </c>
      <c r="C397" s="9" t="s">
        <v>746</v>
      </c>
      <c r="D397" s="9"/>
      <c r="E397" s="12" t="s">
        <v>747</v>
      </c>
      <c r="F397" s="8" t="s">
        <v>31</v>
      </c>
      <c r="G397" s="38" t="s">
        <v>24</v>
      </c>
      <c r="H397" s="12" t="s">
        <v>744</v>
      </c>
      <c r="I397" s="8">
        <v>0</v>
      </c>
    </row>
    <row r="398" spans="1:9" x14ac:dyDescent="0.3">
      <c r="A398" s="8" t="s">
        <v>86</v>
      </c>
      <c r="B398" s="9" t="s">
        <v>392</v>
      </c>
      <c r="C398" s="9" t="s">
        <v>748</v>
      </c>
      <c r="D398" s="9"/>
      <c r="E398" s="12" t="s">
        <v>749</v>
      </c>
      <c r="F398" s="8" t="s">
        <v>35</v>
      </c>
      <c r="G398" s="36" t="s">
        <v>18</v>
      </c>
      <c r="H398" s="12" t="s">
        <v>398</v>
      </c>
      <c r="I398" s="8">
        <v>1</v>
      </c>
    </row>
    <row r="399" spans="1:9" x14ac:dyDescent="0.3">
      <c r="A399" s="8" t="s">
        <v>86</v>
      </c>
      <c r="B399" s="9" t="s">
        <v>392</v>
      </c>
      <c r="C399" s="9" t="s">
        <v>750</v>
      </c>
      <c r="D399" s="9"/>
      <c r="E399" s="12" t="s">
        <v>751</v>
      </c>
      <c r="F399" s="8" t="s">
        <v>35</v>
      </c>
      <c r="G399" s="36" t="s">
        <v>18</v>
      </c>
      <c r="H399" s="12" t="s">
        <v>398</v>
      </c>
      <c r="I399" s="8">
        <v>0</v>
      </c>
    </row>
    <row r="400" spans="1:9" ht="26.4" x14ac:dyDescent="0.3">
      <c r="A400" s="8" t="s">
        <v>86</v>
      </c>
      <c r="B400" s="9" t="s">
        <v>392</v>
      </c>
      <c r="C400" s="9" t="s">
        <v>171</v>
      </c>
      <c r="D400" s="9"/>
      <c r="E400" s="12" t="s">
        <v>752</v>
      </c>
      <c r="F400" s="8" t="s">
        <v>31</v>
      </c>
      <c r="G400" s="36" t="s">
        <v>18</v>
      </c>
      <c r="H400" s="12" t="s">
        <v>398</v>
      </c>
      <c r="I400" s="8">
        <v>0</v>
      </c>
    </row>
    <row r="401" spans="1:9" x14ac:dyDescent="0.3">
      <c r="A401" s="8" t="s">
        <v>86</v>
      </c>
      <c r="B401" s="9" t="s">
        <v>392</v>
      </c>
      <c r="C401" s="9" t="s">
        <v>753</v>
      </c>
      <c r="D401" s="9"/>
      <c r="E401" s="12" t="s">
        <v>754</v>
      </c>
      <c r="F401" s="8" t="s">
        <v>33</v>
      </c>
      <c r="G401" s="36" t="s">
        <v>18</v>
      </c>
      <c r="H401" s="12" t="s">
        <v>398</v>
      </c>
      <c r="I401" s="8">
        <v>0</v>
      </c>
    </row>
    <row r="402" spans="1:9" x14ac:dyDescent="0.3">
      <c r="A402" s="8" t="s">
        <v>86</v>
      </c>
      <c r="B402" s="9" t="s">
        <v>392</v>
      </c>
      <c r="C402" s="9" t="s">
        <v>174</v>
      </c>
      <c r="D402" s="9"/>
      <c r="E402" s="12" t="s">
        <v>755</v>
      </c>
      <c r="F402" s="8" t="s">
        <v>33</v>
      </c>
      <c r="G402" s="36" t="s">
        <v>18</v>
      </c>
      <c r="H402" s="12" t="s">
        <v>398</v>
      </c>
      <c r="I402" s="8">
        <v>0</v>
      </c>
    </row>
    <row r="403" spans="1:9" x14ac:dyDescent="0.3">
      <c r="A403" s="8" t="s">
        <v>86</v>
      </c>
      <c r="B403" s="9" t="s">
        <v>392</v>
      </c>
      <c r="C403" s="9" t="s">
        <v>698</v>
      </c>
      <c r="D403" s="9"/>
      <c r="E403" s="12" t="s">
        <v>756</v>
      </c>
      <c r="F403" s="8" t="s">
        <v>33</v>
      </c>
      <c r="G403" s="36" t="s">
        <v>18</v>
      </c>
      <c r="H403" s="12" t="s">
        <v>398</v>
      </c>
      <c r="I403" s="8">
        <v>0</v>
      </c>
    </row>
    <row r="404" spans="1:9" x14ac:dyDescent="0.3">
      <c r="A404" s="8" t="s">
        <v>86</v>
      </c>
      <c r="B404" s="9" t="s">
        <v>392</v>
      </c>
      <c r="C404" s="9" t="s">
        <v>508</v>
      </c>
      <c r="D404" s="9"/>
      <c r="E404" s="12" t="s">
        <v>757</v>
      </c>
      <c r="F404" s="8" t="s">
        <v>33</v>
      </c>
      <c r="G404" s="36" t="s">
        <v>18</v>
      </c>
      <c r="H404" s="12" t="s">
        <v>398</v>
      </c>
      <c r="I404" s="8">
        <v>0</v>
      </c>
    </row>
    <row r="405" spans="1:9" ht="26.4" x14ac:dyDescent="0.3">
      <c r="A405" s="8" t="s">
        <v>86</v>
      </c>
      <c r="B405" s="9" t="s">
        <v>121</v>
      </c>
      <c r="C405" s="9" t="s">
        <v>171</v>
      </c>
      <c r="D405" s="9"/>
      <c r="E405" s="12" t="s">
        <v>758</v>
      </c>
      <c r="F405" s="8" t="s">
        <v>35</v>
      </c>
      <c r="G405" s="21" t="s">
        <v>20</v>
      </c>
      <c r="H405" s="12" t="s">
        <v>759</v>
      </c>
      <c r="I405" s="8">
        <v>1</v>
      </c>
    </row>
    <row r="406" spans="1:9" ht="39.6" x14ac:dyDescent="0.3">
      <c r="A406" s="8" t="s">
        <v>86</v>
      </c>
      <c r="B406" s="8" t="s">
        <v>126</v>
      </c>
      <c r="C406" s="9" t="s">
        <v>171</v>
      </c>
      <c r="D406" s="9"/>
      <c r="E406" s="12" t="s">
        <v>760</v>
      </c>
      <c r="F406" s="8" t="s">
        <v>35</v>
      </c>
      <c r="G406" s="37" t="s">
        <v>761</v>
      </c>
      <c r="H406" s="12" t="s">
        <v>762</v>
      </c>
      <c r="I406" s="8">
        <v>1</v>
      </c>
    </row>
    <row r="407" spans="1:9" ht="39.6" x14ac:dyDescent="0.3">
      <c r="A407" s="8" t="s">
        <v>86</v>
      </c>
      <c r="B407" s="8" t="s">
        <v>131</v>
      </c>
      <c r="C407" s="9" t="s">
        <v>763</v>
      </c>
      <c r="D407" s="9"/>
      <c r="E407" s="12" t="s">
        <v>764</v>
      </c>
      <c r="F407" s="8" t="s">
        <v>31</v>
      </c>
      <c r="G407" s="37" t="s">
        <v>761</v>
      </c>
      <c r="H407" s="12" t="s">
        <v>762</v>
      </c>
      <c r="I407" s="8">
        <v>1</v>
      </c>
    </row>
    <row r="408" spans="1:9" ht="39.6" x14ac:dyDescent="0.3">
      <c r="A408" s="8" t="s">
        <v>86</v>
      </c>
      <c r="B408" s="8" t="s">
        <v>131</v>
      </c>
      <c r="C408" s="9" t="s">
        <v>765</v>
      </c>
      <c r="D408" s="9"/>
      <c r="E408" s="12" t="s">
        <v>766</v>
      </c>
      <c r="F408" s="8" t="s">
        <v>31</v>
      </c>
      <c r="G408" s="37" t="s">
        <v>761</v>
      </c>
      <c r="H408" s="12" t="s">
        <v>762</v>
      </c>
      <c r="I408" s="8">
        <v>0</v>
      </c>
    </row>
    <row r="409" spans="1:9" ht="39.6" x14ac:dyDescent="0.3">
      <c r="A409" s="8" t="s">
        <v>86</v>
      </c>
      <c r="B409" s="8" t="s">
        <v>131</v>
      </c>
      <c r="C409" s="9" t="s">
        <v>485</v>
      </c>
      <c r="D409" s="9"/>
      <c r="E409" s="12" t="s">
        <v>767</v>
      </c>
      <c r="F409" s="8" t="s">
        <v>31</v>
      </c>
      <c r="G409" s="37" t="s">
        <v>761</v>
      </c>
      <c r="H409" s="12" t="s">
        <v>762</v>
      </c>
      <c r="I409" s="8">
        <v>0</v>
      </c>
    </row>
    <row r="410" spans="1:9" ht="39.6" x14ac:dyDescent="0.3">
      <c r="A410" s="8" t="s">
        <v>86</v>
      </c>
      <c r="B410" s="8" t="s">
        <v>131</v>
      </c>
      <c r="C410" s="9" t="s">
        <v>768</v>
      </c>
      <c r="D410" s="9"/>
      <c r="E410" s="12" t="s">
        <v>769</v>
      </c>
      <c r="F410" s="8" t="s">
        <v>31</v>
      </c>
      <c r="G410" s="37" t="s">
        <v>761</v>
      </c>
      <c r="H410" s="12" t="s">
        <v>762</v>
      </c>
      <c r="I410" s="8">
        <v>0</v>
      </c>
    </row>
    <row r="411" spans="1:9" x14ac:dyDescent="0.3">
      <c r="A411" s="8" t="s">
        <v>86</v>
      </c>
      <c r="B411" s="9" t="s">
        <v>270</v>
      </c>
      <c r="C411" s="9" t="s">
        <v>271</v>
      </c>
      <c r="D411" s="9"/>
      <c r="E411" s="12" t="s">
        <v>770</v>
      </c>
      <c r="F411" s="8" t="s">
        <v>35</v>
      </c>
      <c r="G411" s="19" t="s">
        <v>18</v>
      </c>
      <c r="H411" s="12"/>
      <c r="I411" s="8">
        <v>1</v>
      </c>
    </row>
    <row r="412" spans="1:9" x14ac:dyDescent="0.3">
      <c r="A412" s="8" t="s">
        <v>86</v>
      </c>
      <c r="B412" s="9" t="s">
        <v>270</v>
      </c>
      <c r="C412" s="9" t="s">
        <v>541</v>
      </c>
      <c r="D412" s="9"/>
      <c r="E412" s="12" t="s">
        <v>771</v>
      </c>
      <c r="F412" s="8" t="s">
        <v>35</v>
      </c>
      <c r="G412" s="19" t="s">
        <v>18</v>
      </c>
      <c r="H412" s="12"/>
      <c r="I412" s="8">
        <v>0</v>
      </c>
    </row>
    <row r="413" spans="1:9" x14ac:dyDescent="0.3">
      <c r="A413" s="8" t="s">
        <v>86</v>
      </c>
      <c r="B413" s="9" t="s">
        <v>270</v>
      </c>
      <c r="C413" s="9" t="s">
        <v>273</v>
      </c>
      <c r="D413" s="9"/>
      <c r="E413" s="12" t="s">
        <v>772</v>
      </c>
      <c r="F413" s="8" t="s">
        <v>31</v>
      </c>
      <c r="G413" s="19" t="s">
        <v>18</v>
      </c>
      <c r="H413" s="12"/>
      <c r="I413" s="8">
        <v>0</v>
      </c>
    </row>
    <row r="414" spans="1:9" ht="26.4" x14ac:dyDescent="0.3">
      <c r="A414" s="8" t="s">
        <v>86</v>
      </c>
      <c r="B414" s="9" t="s">
        <v>270</v>
      </c>
      <c r="C414" s="9" t="s">
        <v>669</v>
      </c>
      <c r="D414" s="9"/>
      <c r="E414" s="12" t="s">
        <v>773</v>
      </c>
      <c r="F414" s="8" t="s">
        <v>35</v>
      </c>
      <c r="G414" s="19" t="s">
        <v>18</v>
      </c>
      <c r="H414" s="12"/>
      <c r="I414" s="8">
        <v>0</v>
      </c>
    </row>
  </sheetData>
  <autoFilter ref="A1:H414" xr:uid="{00000000-0009-0000-0000-000004000000}"/>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8"/>
  <sheetViews>
    <sheetView showGridLines="0" topLeftCell="C1" workbookViewId="0">
      <pane ySplit="1" topLeftCell="A47" activePane="bottomLeft" state="frozen"/>
      <selection pane="bottomLeft"/>
    </sheetView>
  </sheetViews>
  <sheetFormatPr defaultRowHeight="14.4" x14ac:dyDescent="0.3"/>
  <cols>
    <col min="1" max="1" width="27" customWidth="1"/>
    <col min="2" max="2" width="20" customWidth="1"/>
    <col min="3" max="3" width="46" customWidth="1"/>
    <col min="4" max="4" width="44" customWidth="1"/>
    <col min="5" max="5" width="62" customWidth="1"/>
    <col min="6" max="6" width="58" customWidth="1"/>
  </cols>
  <sheetData>
    <row r="1" spans="1:6" ht="30" customHeight="1" x14ac:dyDescent="0.3">
      <c r="A1" s="6" t="s">
        <v>37</v>
      </c>
      <c r="B1" s="6" t="s">
        <v>774</v>
      </c>
      <c r="C1" s="6" t="s">
        <v>775</v>
      </c>
      <c r="D1" s="6" t="s">
        <v>776</v>
      </c>
      <c r="E1" s="6" t="s">
        <v>777</v>
      </c>
      <c r="F1" s="6" t="s">
        <v>778</v>
      </c>
    </row>
    <row r="2" spans="1:6" x14ac:dyDescent="0.3">
      <c r="A2" s="8" t="s">
        <v>47</v>
      </c>
      <c r="B2" s="8" t="s">
        <v>779</v>
      </c>
      <c r="C2" s="12" t="s">
        <v>780</v>
      </c>
      <c r="D2" s="10" t="s">
        <v>170</v>
      </c>
      <c r="E2" s="12" t="s">
        <v>781</v>
      </c>
      <c r="F2" s="12" t="s">
        <v>782</v>
      </c>
    </row>
    <row r="3" spans="1:6" ht="26.4" x14ac:dyDescent="0.3">
      <c r="A3" s="14" t="s">
        <v>47</v>
      </c>
      <c r="B3" s="14" t="s">
        <v>779</v>
      </c>
      <c r="C3" s="18" t="s">
        <v>783</v>
      </c>
      <c r="D3" s="16" t="s">
        <v>216</v>
      </c>
      <c r="E3" s="18" t="s">
        <v>784</v>
      </c>
      <c r="F3" s="18" t="s">
        <v>785</v>
      </c>
    </row>
    <row r="4" spans="1:6" ht="26.4" x14ac:dyDescent="0.3">
      <c r="A4" s="8" t="s">
        <v>47</v>
      </c>
      <c r="B4" s="8" t="s">
        <v>779</v>
      </c>
      <c r="C4" s="12" t="s">
        <v>786</v>
      </c>
      <c r="D4" s="10" t="s">
        <v>185</v>
      </c>
      <c r="E4" s="12" t="s">
        <v>787</v>
      </c>
      <c r="F4" s="12" t="s">
        <v>788</v>
      </c>
    </row>
    <row r="5" spans="1:6" x14ac:dyDescent="0.3">
      <c r="A5" s="14" t="s">
        <v>47</v>
      </c>
      <c r="B5" s="14" t="s">
        <v>779</v>
      </c>
      <c r="C5" s="18" t="s">
        <v>231</v>
      </c>
      <c r="D5" s="16" t="s">
        <v>229</v>
      </c>
      <c r="E5" s="18" t="s">
        <v>789</v>
      </c>
      <c r="F5" s="18" t="s">
        <v>790</v>
      </c>
    </row>
    <row r="6" spans="1:6" x14ac:dyDescent="0.3">
      <c r="A6" s="8" t="s">
        <v>47</v>
      </c>
      <c r="B6" s="8" t="s">
        <v>779</v>
      </c>
      <c r="C6" s="12" t="s">
        <v>791</v>
      </c>
      <c r="D6" s="10" t="s">
        <v>204</v>
      </c>
      <c r="E6" s="12" t="s">
        <v>792</v>
      </c>
      <c r="F6" s="12" t="s">
        <v>793</v>
      </c>
    </row>
    <row r="7" spans="1:6" x14ac:dyDescent="0.3">
      <c r="A7" s="14" t="s">
        <v>47</v>
      </c>
      <c r="B7" s="14" t="s">
        <v>779</v>
      </c>
      <c r="C7" s="18" t="s">
        <v>794</v>
      </c>
      <c r="D7" s="16" t="s">
        <v>170</v>
      </c>
      <c r="E7" s="18" t="s">
        <v>795</v>
      </c>
      <c r="F7" s="18" t="s">
        <v>796</v>
      </c>
    </row>
    <row r="8" spans="1:6" ht="26.4" x14ac:dyDescent="0.3">
      <c r="A8" s="8" t="s">
        <v>47</v>
      </c>
      <c r="B8" s="8" t="s">
        <v>779</v>
      </c>
      <c r="C8" s="12" t="s">
        <v>797</v>
      </c>
      <c r="D8" s="10" t="s">
        <v>204</v>
      </c>
      <c r="E8" s="12" t="s">
        <v>798</v>
      </c>
      <c r="F8" s="12" t="s">
        <v>793</v>
      </c>
    </row>
    <row r="9" spans="1:6" x14ac:dyDescent="0.3">
      <c r="A9" s="14" t="s">
        <v>47</v>
      </c>
      <c r="B9" s="14" t="s">
        <v>779</v>
      </c>
      <c r="C9" s="18" t="s">
        <v>799</v>
      </c>
      <c r="D9" s="16" t="s">
        <v>170</v>
      </c>
      <c r="E9" s="18" t="s">
        <v>800</v>
      </c>
      <c r="F9" s="18" t="s">
        <v>796</v>
      </c>
    </row>
    <row r="10" spans="1:6" ht="26.4" x14ac:dyDescent="0.3">
      <c r="A10" s="8" t="s">
        <v>47</v>
      </c>
      <c r="B10" s="8" t="s">
        <v>779</v>
      </c>
      <c r="C10" s="12" t="s">
        <v>801</v>
      </c>
      <c r="D10" s="10" t="s">
        <v>237</v>
      </c>
      <c r="E10" s="12" t="s">
        <v>802</v>
      </c>
      <c r="F10" s="12" t="s">
        <v>803</v>
      </c>
    </row>
    <row r="11" spans="1:6" ht="26.4" x14ac:dyDescent="0.3">
      <c r="A11" s="14" t="s">
        <v>47</v>
      </c>
      <c r="B11" s="14" t="s">
        <v>779</v>
      </c>
      <c r="C11" s="18" t="s">
        <v>804</v>
      </c>
      <c r="D11" s="16" t="s">
        <v>237</v>
      </c>
      <c r="E11" s="18" t="s">
        <v>805</v>
      </c>
      <c r="F11" s="18" t="s">
        <v>806</v>
      </c>
    </row>
    <row r="12" spans="1:6" x14ac:dyDescent="0.3">
      <c r="A12" s="8" t="s">
        <v>47</v>
      </c>
      <c r="B12" s="8" t="s">
        <v>779</v>
      </c>
      <c r="C12" s="12" t="s">
        <v>807</v>
      </c>
      <c r="D12" s="10" t="s">
        <v>170</v>
      </c>
      <c r="E12" s="12" t="s">
        <v>808</v>
      </c>
      <c r="F12" s="12" t="s">
        <v>809</v>
      </c>
    </row>
    <row r="13" spans="1:6" x14ac:dyDescent="0.3">
      <c r="A13" s="14" t="s">
        <v>47</v>
      </c>
      <c r="B13" s="14" t="s">
        <v>779</v>
      </c>
      <c r="C13" s="18" t="s">
        <v>810</v>
      </c>
      <c r="D13" s="16" t="s">
        <v>204</v>
      </c>
      <c r="E13" s="18" t="s">
        <v>811</v>
      </c>
      <c r="F13" s="18" t="s">
        <v>793</v>
      </c>
    </row>
    <row r="14" spans="1:6" x14ac:dyDescent="0.3">
      <c r="A14" s="8" t="s">
        <v>47</v>
      </c>
      <c r="B14" s="8" t="s">
        <v>779</v>
      </c>
      <c r="C14" s="12" t="s">
        <v>812</v>
      </c>
      <c r="D14" s="10" t="s">
        <v>185</v>
      </c>
      <c r="E14" s="12" t="s">
        <v>813</v>
      </c>
      <c r="F14" s="12" t="s">
        <v>814</v>
      </c>
    </row>
    <row r="15" spans="1:6" x14ac:dyDescent="0.3">
      <c r="A15" s="14" t="s">
        <v>47</v>
      </c>
      <c r="B15" s="14" t="s">
        <v>815</v>
      </c>
      <c r="C15" s="18" t="s">
        <v>816</v>
      </c>
      <c r="D15" s="16" t="s">
        <v>170</v>
      </c>
      <c r="E15" s="18" t="s">
        <v>817</v>
      </c>
      <c r="F15" s="18" t="s">
        <v>818</v>
      </c>
    </row>
    <row r="16" spans="1:6" x14ac:dyDescent="0.3">
      <c r="A16" s="8" t="s">
        <v>47</v>
      </c>
      <c r="B16" s="8" t="s">
        <v>815</v>
      </c>
      <c r="C16" s="12" t="s">
        <v>819</v>
      </c>
      <c r="D16" s="10" t="s">
        <v>185</v>
      </c>
      <c r="E16" s="12" t="s">
        <v>820</v>
      </c>
      <c r="F16" s="12" t="s">
        <v>821</v>
      </c>
    </row>
    <row r="17" spans="1:6" x14ac:dyDescent="0.3">
      <c r="A17" s="14" t="s">
        <v>47</v>
      </c>
      <c r="B17" s="14" t="s">
        <v>815</v>
      </c>
      <c r="C17" s="18" t="s">
        <v>822</v>
      </c>
      <c r="D17" s="16" t="s">
        <v>170</v>
      </c>
      <c r="E17" s="18" t="s">
        <v>823</v>
      </c>
      <c r="F17" s="18" t="s">
        <v>824</v>
      </c>
    </row>
    <row r="18" spans="1:6" x14ac:dyDescent="0.3">
      <c r="A18" s="8" t="s">
        <v>47</v>
      </c>
      <c r="B18" s="8" t="s">
        <v>815</v>
      </c>
      <c r="C18" s="12" t="s">
        <v>825</v>
      </c>
      <c r="D18" s="10" t="s">
        <v>204</v>
      </c>
      <c r="E18" s="12" t="s">
        <v>826</v>
      </c>
      <c r="F18" s="12" t="s">
        <v>827</v>
      </c>
    </row>
    <row r="19" spans="1:6" x14ac:dyDescent="0.3">
      <c r="A19" s="14" t="s">
        <v>47</v>
      </c>
      <c r="B19" s="14" t="s">
        <v>815</v>
      </c>
      <c r="C19" s="18" t="s">
        <v>828</v>
      </c>
      <c r="D19" s="16" t="s">
        <v>216</v>
      </c>
      <c r="E19" s="18" t="s">
        <v>829</v>
      </c>
      <c r="F19" s="18" t="s">
        <v>830</v>
      </c>
    </row>
    <row r="20" spans="1:6" x14ac:dyDescent="0.3">
      <c r="A20" s="8" t="s">
        <v>47</v>
      </c>
      <c r="B20" s="8" t="s">
        <v>815</v>
      </c>
      <c r="C20" s="12" t="s">
        <v>831</v>
      </c>
      <c r="D20" s="10" t="s">
        <v>170</v>
      </c>
      <c r="E20" s="12" t="s">
        <v>832</v>
      </c>
      <c r="F20" s="12" t="s">
        <v>833</v>
      </c>
    </row>
    <row r="21" spans="1:6" x14ac:dyDescent="0.3">
      <c r="A21" s="14" t="s">
        <v>47</v>
      </c>
      <c r="B21" s="14" t="s">
        <v>815</v>
      </c>
      <c r="C21" s="18" t="s">
        <v>834</v>
      </c>
      <c r="D21" s="16" t="s">
        <v>251</v>
      </c>
      <c r="E21" s="18" t="s">
        <v>835</v>
      </c>
      <c r="F21" s="18" t="s">
        <v>836</v>
      </c>
    </row>
    <row r="22" spans="1:6" x14ac:dyDescent="0.3">
      <c r="A22" s="8" t="s">
        <v>47</v>
      </c>
      <c r="B22" s="8" t="s">
        <v>815</v>
      </c>
      <c r="C22" s="12" t="s">
        <v>837</v>
      </c>
      <c r="D22" s="10" t="s">
        <v>258</v>
      </c>
      <c r="E22" s="12" t="s">
        <v>838</v>
      </c>
      <c r="F22" s="12" t="s">
        <v>839</v>
      </c>
    </row>
    <row r="23" spans="1:6" x14ac:dyDescent="0.3">
      <c r="A23" s="14" t="s">
        <v>47</v>
      </c>
      <c r="B23" s="14" t="s">
        <v>815</v>
      </c>
      <c r="C23" s="18" t="s">
        <v>840</v>
      </c>
      <c r="D23" s="16" t="s">
        <v>170</v>
      </c>
      <c r="E23" s="18" t="s">
        <v>841</v>
      </c>
      <c r="F23" s="18" t="s">
        <v>818</v>
      </c>
    </row>
    <row r="24" spans="1:6" x14ac:dyDescent="0.3">
      <c r="A24" s="8" t="s">
        <v>47</v>
      </c>
      <c r="B24" s="8" t="s">
        <v>815</v>
      </c>
      <c r="C24" s="12" t="s">
        <v>842</v>
      </c>
      <c r="D24" s="10" t="s">
        <v>170</v>
      </c>
      <c r="E24" s="12" t="s">
        <v>843</v>
      </c>
      <c r="F24" s="12" t="s">
        <v>824</v>
      </c>
    </row>
    <row r="25" spans="1:6" x14ac:dyDescent="0.3">
      <c r="A25" s="14" t="s">
        <v>47</v>
      </c>
      <c r="B25" s="14" t="s">
        <v>815</v>
      </c>
      <c r="C25" s="18" t="s">
        <v>844</v>
      </c>
      <c r="D25" s="16" t="s">
        <v>229</v>
      </c>
      <c r="E25" s="18" t="s">
        <v>845</v>
      </c>
      <c r="F25" s="18" t="s">
        <v>790</v>
      </c>
    </row>
    <row r="26" spans="1:6" x14ac:dyDescent="0.3">
      <c r="A26" s="8" t="s">
        <v>47</v>
      </c>
      <c r="B26" s="8" t="s">
        <v>815</v>
      </c>
      <c r="C26" s="12" t="s">
        <v>846</v>
      </c>
      <c r="D26" s="10" t="s">
        <v>185</v>
      </c>
      <c r="E26" s="12" t="s">
        <v>847</v>
      </c>
      <c r="F26" s="12" t="s">
        <v>848</v>
      </c>
    </row>
    <row r="27" spans="1:6" x14ac:dyDescent="0.3">
      <c r="A27" s="14" t="s">
        <v>47</v>
      </c>
      <c r="B27" s="14" t="s">
        <v>815</v>
      </c>
      <c r="C27" s="18" t="s">
        <v>849</v>
      </c>
      <c r="D27" s="16" t="s">
        <v>204</v>
      </c>
      <c r="E27" s="18" t="s">
        <v>850</v>
      </c>
      <c r="F27" s="18" t="s">
        <v>827</v>
      </c>
    </row>
    <row r="28" spans="1:6" x14ac:dyDescent="0.3">
      <c r="A28" s="8" t="s">
        <v>47</v>
      </c>
      <c r="B28" s="8" t="s">
        <v>851</v>
      </c>
      <c r="C28" s="12" t="s">
        <v>852</v>
      </c>
      <c r="D28" s="10" t="s">
        <v>170</v>
      </c>
      <c r="E28" s="12" t="s">
        <v>853</v>
      </c>
      <c r="F28" s="12" t="s">
        <v>833</v>
      </c>
    </row>
    <row r="29" spans="1:6" x14ac:dyDescent="0.3">
      <c r="A29" s="14" t="s">
        <v>47</v>
      </c>
      <c r="B29" s="14" t="s">
        <v>851</v>
      </c>
      <c r="C29" s="18" t="s">
        <v>854</v>
      </c>
      <c r="D29" s="16" t="s">
        <v>277</v>
      </c>
      <c r="E29" s="18" t="s">
        <v>855</v>
      </c>
      <c r="F29" s="18" t="s">
        <v>856</v>
      </c>
    </row>
    <row r="30" spans="1:6" x14ac:dyDescent="0.3">
      <c r="A30" s="8" t="s">
        <v>47</v>
      </c>
      <c r="B30" s="8" t="s">
        <v>851</v>
      </c>
      <c r="C30" s="12" t="s">
        <v>857</v>
      </c>
      <c r="D30" s="10" t="s">
        <v>170</v>
      </c>
      <c r="E30" s="12" t="s">
        <v>858</v>
      </c>
      <c r="F30" s="12" t="s">
        <v>824</v>
      </c>
    </row>
    <row r="31" spans="1:6" x14ac:dyDescent="0.3">
      <c r="A31" s="14" t="s">
        <v>47</v>
      </c>
      <c r="B31" s="14" t="s">
        <v>851</v>
      </c>
      <c r="C31" s="18" t="s">
        <v>859</v>
      </c>
      <c r="D31" s="16" t="s">
        <v>185</v>
      </c>
      <c r="E31" s="18" t="s">
        <v>860</v>
      </c>
      <c r="F31" s="18" t="s">
        <v>848</v>
      </c>
    </row>
    <row r="32" spans="1:6" x14ac:dyDescent="0.3">
      <c r="A32" s="8" t="s">
        <v>47</v>
      </c>
      <c r="B32" s="8" t="s">
        <v>851</v>
      </c>
      <c r="C32" s="12" t="s">
        <v>861</v>
      </c>
      <c r="D32" s="10" t="s">
        <v>293</v>
      </c>
      <c r="E32" s="12" t="s">
        <v>862</v>
      </c>
      <c r="F32" s="12" t="s">
        <v>863</v>
      </c>
    </row>
    <row r="33" spans="1:6" ht="24" x14ac:dyDescent="0.3">
      <c r="A33" s="14" t="s">
        <v>47</v>
      </c>
      <c r="B33" s="14" t="s">
        <v>851</v>
      </c>
      <c r="C33" s="18" t="s">
        <v>864</v>
      </c>
      <c r="D33" s="16" t="s">
        <v>865</v>
      </c>
      <c r="E33" s="18" t="s">
        <v>866</v>
      </c>
      <c r="F33" s="18" t="s">
        <v>867</v>
      </c>
    </row>
    <row r="34" spans="1:6" x14ac:dyDescent="0.3">
      <c r="A34" s="8" t="s">
        <v>47</v>
      </c>
      <c r="B34" s="8" t="s">
        <v>851</v>
      </c>
      <c r="C34" s="12" t="s">
        <v>868</v>
      </c>
      <c r="D34" s="10" t="s">
        <v>204</v>
      </c>
      <c r="E34" s="12" t="s">
        <v>869</v>
      </c>
      <c r="F34" s="12" t="s">
        <v>827</v>
      </c>
    </row>
    <row r="35" spans="1:6" x14ac:dyDescent="0.3">
      <c r="A35" s="14" t="s">
        <v>47</v>
      </c>
      <c r="B35" s="14" t="s">
        <v>851</v>
      </c>
      <c r="C35" s="18" t="s">
        <v>870</v>
      </c>
      <c r="D35" s="16" t="s">
        <v>277</v>
      </c>
      <c r="E35" s="18" t="s">
        <v>871</v>
      </c>
      <c r="F35" s="18" t="s">
        <v>856</v>
      </c>
    </row>
    <row r="36" spans="1:6" x14ac:dyDescent="0.3">
      <c r="A36" s="8" t="s">
        <v>47</v>
      </c>
      <c r="B36" s="8" t="s">
        <v>851</v>
      </c>
      <c r="C36" s="12" t="s">
        <v>872</v>
      </c>
      <c r="D36" s="10" t="s">
        <v>185</v>
      </c>
      <c r="E36" s="12" t="s">
        <v>873</v>
      </c>
      <c r="F36" s="12" t="s">
        <v>874</v>
      </c>
    </row>
    <row r="37" spans="1:6" x14ac:dyDescent="0.3">
      <c r="A37" s="14" t="s">
        <v>47</v>
      </c>
      <c r="B37" s="14" t="s">
        <v>851</v>
      </c>
      <c r="C37" s="18" t="s">
        <v>875</v>
      </c>
      <c r="D37" s="16" t="s">
        <v>170</v>
      </c>
      <c r="E37" s="18" t="s">
        <v>876</v>
      </c>
      <c r="F37" s="18" t="s">
        <v>824</v>
      </c>
    </row>
    <row r="38" spans="1:6" x14ac:dyDescent="0.3">
      <c r="A38" s="8" t="s">
        <v>47</v>
      </c>
      <c r="B38" s="8" t="s">
        <v>851</v>
      </c>
      <c r="C38" s="12" t="s">
        <v>877</v>
      </c>
      <c r="D38" s="10" t="s">
        <v>204</v>
      </c>
      <c r="E38" s="12" t="s">
        <v>878</v>
      </c>
      <c r="F38" s="12" t="s">
        <v>827</v>
      </c>
    </row>
    <row r="39" spans="1:6" x14ac:dyDescent="0.3">
      <c r="A39" s="14" t="s">
        <v>47</v>
      </c>
      <c r="B39" s="14" t="s">
        <v>851</v>
      </c>
      <c r="C39" s="18" t="s">
        <v>879</v>
      </c>
      <c r="D39" s="16" t="s">
        <v>204</v>
      </c>
      <c r="E39" s="18" t="s">
        <v>880</v>
      </c>
      <c r="F39" s="18" t="s">
        <v>827</v>
      </c>
    </row>
    <row r="40" spans="1:6" ht="26.4" x14ac:dyDescent="0.3">
      <c r="A40" s="8" t="s">
        <v>47</v>
      </c>
      <c r="B40" s="8" t="s">
        <v>851</v>
      </c>
      <c r="C40" s="12" t="s">
        <v>881</v>
      </c>
      <c r="D40" s="10" t="s">
        <v>309</v>
      </c>
      <c r="E40" s="12" t="s">
        <v>882</v>
      </c>
      <c r="F40" s="12" t="s">
        <v>883</v>
      </c>
    </row>
    <row r="41" spans="1:6" x14ac:dyDescent="0.3">
      <c r="A41" s="14" t="s">
        <v>53</v>
      </c>
      <c r="B41" s="14" t="s">
        <v>884</v>
      </c>
      <c r="C41" s="18" t="s">
        <v>885</v>
      </c>
      <c r="D41" s="16" t="s">
        <v>337</v>
      </c>
      <c r="E41" s="18" t="s">
        <v>886</v>
      </c>
      <c r="F41" s="18" t="s">
        <v>887</v>
      </c>
    </row>
    <row r="42" spans="1:6" x14ac:dyDescent="0.3">
      <c r="A42" s="8" t="s">
        <v>53</v>
      </c>
      <c r="B42" s="8" t="s">
        <v>884</v>
      </c>
      <c r="C42" s="12" t="s">
        <v>854</v>
      </c>
      <c r="D42" s="10" t="s">
        <v>277</v>
      </c>
      <c r="E42" s="12" t="s">
        <v>888</v>
      </c>
      <c r="F42" s="12" t="s">
        <v>889</v>
      </c>
    </row>
    <row r="43" spans="1:6" x14ac:dyDescent="0.3">
      <c r="A43" s="14" t="s">
        <v>53</v>
      </c>
      <c r="B43" s="14" t="s">
        <v>884</v>
      </c>
      <c r="C43" s="18" t="s">
        <v>890</v>
      </c>
      <c r="D43" s="16" t="s">
        <v>327</v>
      </c>
      <c r="E43" s="18" t="s">
        <v>891</v>
      </c>
      <c r="F43" s="18" t="s">
        <v>892</v>
      </c>
    </row>
    <row r="44" spans="1:6" x14ac:dyDescent="0.3">
      <c r="A44" s="8" t="s">
        <v>53</v>
      </c>
      <c r="B44" s="8" t="s">
        <v>893</v>
      </c>
      <c r="C44" s="12" t="s">
        <v>894</v>
      </c>
      <c r="D44" s="10" t="s">
        <v>170</v>
      </c>
      <c r="E44" s="12" t="s">
        <v>895</v>
      </c>
      <c r="F44" s="12" t="s">
        <v>896</v>
      </c>
    </row>
    <row r="45" spans="1:6" x14ac:dyDescent="0.3">
      <c r="A45" s="14" t="s">
        <v>53</v>
      </c>
      <c r="B45" s="14" t="s">
        <v>893</v>
      </c>
      <c r="C45" s="18" t="s">
        <v>897</v>
      </c>
      <c r="D45" s="16" t="s">
        <v>170</v>
      </c>
      <c r="E45" s="18" t="s">
        <v>898</v>
      </c>
      <c r="F45" s="18" t="s">
        <v>899</v>
      </c>
    </row>
    <row r="46" spans="1:6" x14ac:dyDescent="0.3">
      <c r="A46" s="8" t="s">
        <v>53</v>
      </c>
      <c r="B46" s="8" t="s">
        <v>893</v>
      </c>
      <c r="C46" s="12" t="s">
        <v>900</v>
      </c>
      <c r="D46" s="10" t="s">
        <v>204</v>
      </c>
      <c r="E46" s="12" t="s">
        <v>880</v>
      </c>
      <c r="F46" s="12" t="s">
        <v>793</v>
      </c>
    </row>
    <row r="47" spans="1:6" x14ac:dyDescent="0.3">
      <c r="A47" s="14" t="s">
        <v>53</v>
      </c>
      <c r="B47" s="14" t="s">
        <v>893</v>
      </c>
      <c r="C47" s="18" t="s">
        <v>901</v>
      </c>
      <c r="D47" s="16" t="s">
        <v>355</v>
      </c>
      <c r="E47" s="18" t="s">
        <v>902</v>
      </c>
      <c r="F47" s="18" t="s">
        <v>903</v>
      </c>
    </row>
    <row r="48" spans="1:6" x14ac:dyDescent="0.3">
      <c r="A48" s="8" t="s">
        <v>53</v>
      </c>
      <c r="B48" s="8" t="s">
        <v>893</v>
      </c>
      <c r="C48" s="12" t="s">
        <v>904</v>
      </c>
      <c r="D48" s="10" t="s">
        <v>204</v>
      </c>
      <c r="E48" s="12" t="s">
        <v>905</v>
      </c>
      <c r="F48" s="12" t="s">
        <v>827</v>
      </c>
    </row>
    <row r="49" spans="1:6" x14ac:dyDescent="0.3">
      <c r="A49" s="14" t="s">
        <v>53</v>
      </c>
      <c r="B49" s="14" t="s">
        <v>906</v>
      </c>
      <c r="C49" s="18" t="s">
        <v>907</v>
      </c>
      <c r="D49" s="16" t="s">
        <v>204</v>
      </c>
      <c r="E49" s="18" t="s">
        <v>908</v>
      </c>
      <c r="F49" s="18" t="s">
        <v>827</v>
      </c>
    </row>
    <row r="50" spans="1:6" x14ac:dyDescent="0.3">
      <c r="A50" s="8" t="s">
        <v>53</v>
      </c>
      <c r="B50" s="8" t="s">
        <v>906</v>
      </c>
      <c r="C50" s="12" t="s">
        <v>879</v>
      </c>
      <c r="D50" s="10" t="s">
        <v>204</v>
      </c>
      <c r="E50" s="12" t="s">
        <v>909</v>
      </c>
      <c r="F50" s="12" t="s">
        <v>827</v>
      </c>
    </row>
    <row r="51" spans="1:6" x14ac:dyDescent="0.3">
      <c r="A51" s="14" t="s">
        <v>53</v>
      </c>
      <c r="B51" s="14" t="s">
        <v>910</v>
      </c>
      <c r="C51" s="18" t="s">
        <v>911</v>
      </c>
      <c r="D51" s="16" t="s">
        <v>185</v>
      </c>
      <c r="E51" s="18" t="s">
        <v>912</v>
      </c>
      <c r="F51" s="18" t="s">
        <v>913</v>
      </c>
    </row>
    <row r="52" spans="1:6" x14ac:dyDescent="0.3">
      <c r="A52" s="8" t="s">
        <v>53</v>
      </c>
      <c r="B52" s="8" t="s">
        <v>914</v>
      </c>
      <c r="C52" s="12" t="s">
        <v>915</v>
      </c>
      <c r="D52" s="10" t="s">
        <v>327</v>
      </c>
      <c r="E52" s="12" t="s">
        <v>916</v>
      </c>
      <c r="F52" s="12" t="s">
        <v>892</v>
      </c>
    </row>
    <row r="53" spans="1:6" x14ac:dyDescent="0.3">
      <c r="A53" s="14" t="s">
        <v>53</v>
      </c>
      <c r="B53" s="14" t="s">
        <v>917</v>
      </c>
      <c r="C53" s="18" t="s">
        <v>918</v>
      </c>
      <c r="D53" s="16" t="s">
        <v>170</v>
      </c>
      <c r="E53" s="18" t="s">
        <v>919</v>
      </c>
      <c r="F53" s="18" t="s">
        <v>899</v>
      </c>
    </row>
    <row r="54" spans="1:6" x14ac:dyDescent="0.3">
      <c r="A54" s="8" t="s">
        <v>53</v>
      </c>
      <c r="B54" s="8" t="s">
        <v>920</v>
      </c>
      <c r="C54" s="12" t="s">
        <v>921</v>
      </c>
      <c r="D54" s="10" t="s">
        <v>922</v>
      </c>
      <c r="E54" s="12" t="s">
        <v>923</v>
      </c>
      <c r="F54" s="12" t="s">
        <v>924</v>
      </c>
    </row>
    <row r="55" spans="1:6" x14ac:dyDescent="0.3">
      <c r="A55" s="14" t="s">
        <v>53</v>
      </c>
      <c r="B55" s="14" t="s">
        <v>925</v>
      </c>
      <c r="C55" s="18" t="s">
        <v>926</v>
      </c>
      <c r="D55" s="16" t="s">
        <v>204</v>
      </c>
      <c r="E55" s="18" t="s">
        <v>927</v>
      </c>
      <c r="F55" s="18" t="s">
        <v>827</v>
      </c>
    </row>
    <row r="56" spans="1:6" x14ac:dyDescent="0.3">
      <c r="A56" s="8" t="s">
        <v>53</v>
      </c>
      <c r="B56" s="8" t="s">
        <v>928</v>
      </c>
      <c r="C56" s="12" t="s">
        <v>929</v>
      </c>
      <c r="D56" s="10" t="s">
        <v>185</v>
      </c>
      <c r="E56" s="12" t="s">
        <v>930</v>
      </c>
      <c r="F56" s="12" t="s">
        <v>913</v>
      </c>
    </row>
    <row r="57" spans="1:6" x14ac:dyDescent="0.3">
      <c r="A57" s="14" t="s">
        <v>53</v>
      </c>
      <c r="B57" s="14" t="s">
        <v>931</v>
      </c>
      <c r="C57" s="18" t="s">
        <v>932</v>
      </c>
      <c r="D57" s="16" t="s">
        <v>327</v>
      </c>
      <c r="E57" s="18" t="s">
        <v>933</v>
      </c>
      <c r="F57" s="18" t="s">
        <v>934</v>
      </c>
    </row>
    <row r="58" spans="1:6" x14ac:dyDescent="0.3">
      <c r="A58" s="8" t="s">
        <v>53</v>
      </c>
      <c r="B58" s="8" t="s">
        <v>935</v>
      </c>
      <c r="C58" s="12" t="s">
        <v>936</v>
      </c>
      <c r="D58" s="10" t="s">
        <v>170</v>
      </c>
      <c r="E58" s="12" t="s">
        <v>937</v>
      </c>
      <c r="F58" s="12" t="s">
        <v>938</v>
      </c>
    </row>
    <row r="59" spans="1:6" x14ac:dyDescent="0.3">
      <c r="A59" s="14" t="s">
        <v>53</v>
      </c>
      <c r="B59" s="14" t="s">
        <v>939</v>
      </c>
      <c r="C59" s="18" t="s">
        <v>810</v>
      </c>
      <c r="D59" s="16" t="s">
        <v>204</v>
      </c>
      <c r="E59" s="18" t="s">
        <v>940</v>
      </c>
      <c r="F59" s="18" t="s">
        <v>827</v>
      </c>
    </row>
    <row r="60" spans="1:6" x14ac:dyDescent="0.3">
      <c r="A60" s="8" t="s">
        <v>53</v>
      </c>
      <c r="B60" s="8" t="s">
        <v>941</v>
      </c>
      <c r="C60" s="12" t="s">
        <v>942</v>
      </c>
      <c r="D60" s="10" t="s">
        <v>229</v>
      </c>
      <c r="E60" s="12" t="s">
        <v>943</v>
      </c>
      <c r="F60" s="12" t="s">
        <v>944</v>
      </c>
    </row>
    <row r="61" spans="1:6" x14ac:dyDescent="0.3">
      <c r="A61" s="14" t="s">
        <v>62</v>
      </c>
      <c r="B61" s="14" t="s">
        <v>779</v>
      </c>
      <c r="C61" s="18" t="s">
        <v>945</v>
      </c>
      <c r="D61" s="16" t="s">
        <v>463</v>
      </c>
      <c r="E61" s="18" t="s">
        <v>946</v>
      </c>
      <c r="F61" s="18" t="s">
        <v>947</v>
      </c>
    </row>
    <row r="62" spans="1:6" x14ac:dyDescent="0.3">
      <c r="A62" s="8" t="s">
        <v>62</v>
      </c>
      <c r="B62" s="8" t="s">
        <v>779</v>
      </c>
      <c r="C62" s="12" t="s">
        <v>948</v>
      </c>
      <c r="D62" s="10" t="s">
        <v>424</v>
      </c>
      <c r="E62" s="12" t="s">
        <v>781</v>
      </c>
      <c r="F62" s="12" t="s">
        <v>949</v>
      </c>
    </row>
    <row r="63" spans="1:6" x14ac:dyDescent="0.3">
      <c r="A63" s="14" t="s">
        <v>62</v>
      </c>
      <c r="B63" s="14" t="s">
        <v>779</v>
      </c>
      <c r="C63" s="18" t="s">
        <v>950</v>
      </c>
      <c r="D63" s="16" t="s">
        <v>489</v>
      </c>
      <c r="E63" s="18" t="s">
        <v>951</v>
      </c>
      <c r="F63" s="18" t="s">
        <v>952</v>
      </c>
    </row>
    <row r="64" spans="1:6" x14ac:dyDescent="0.3">
      <c r="A64" s="8" t="s">
        <v>62</v>
      </c>
      <c r="B64" s="8" t="s">
        <v>779</v>
      </c>
      <c r="C64" s="12" t="s">
        <v>953</v>
      </c>
      <c r="D64" s="10" t="s">
        <v>489</v>
      </c>
      <c r="E64" s="12" t="s">
        <v>954</v>
      </c>
      <c r="F64" s="12" t="s">
        <v>955</v>
      </c>
    </row>
    <row r="65" spans="1:6" x14ac:dyDescent="0.3">
      <c r="A65" s="14" t="s">
        <v>62</v>
      </c>
      <c r="B65" s="14" t="s">
        <v>779</v>
      </c>
      <c r="C65" s="18" t="s">
        <v>956</v>
      </c>
      <c r="D65" s="16" t="s">
        <v>392</v>
      </c>
      <c r="E65" s="18" t="s">
        <v>781</v>
      </c>
      <c r="F65" s="18" t="s">
        <v>957</v>
      </c>
    </row>
    <row r="66" spans="1:6" x14ac:dyDescent="0.3">
      <c r="A66" s="8" t="s">
        <v>62</v>
      </c>
      <c r="B66" s="8" t="s">
        <v>779</v>
      </c>
      <c r="C66" s="12" t="s">
        <v>958</v>
      </c>
      <c r="D66" s="10" t="s">
        <v>959</v>
      </c>
      <c r="E66" s="12" t="s">
        <v>960</v>
      </c>
      <c r="F66" s="12" t="s">
        <v>961</v>
      </c>
    </row>
    <row r="67" spans="1:6" x14ac:dyDescent="0.3">
      <c r="A67" s="14" t="s">
        <v>62</v>
      </c>
      <c r="B67" s="14" t="s">
        <v>779</v>
      </c>
      <c r="C67" s="18" t="s">
        <v>962</v>
      </c>
      <c r="D67" s="16" t="s">
        <v>502</v>
      </c>
      <c r="E67" s="18" t="s">
        <v>963</v>
      </c>
      <c r="F67" s="18" t="s">
        <v>964</v>
      </c>
    </row>
    <row r="68" spans="1:6" x14ac:dyDescent="0.3">
      <c r="A68" s="8" t="s">
        <v>62</v>
      </c>
      <c r="B68" s="8" t="s">
        <v>779</v>
      </c>
      <c r="C68" s="12" t="s">
        <v>965</v>
      </c>
      <c r="D68" s="10" t="s">
        <v>424</v>
      </c>
      <c r="E68" s="12" t="s">
        <v>966</v>
      </c>
      <c r="F68" s="12" t="s">
        <v>949</v>
      </c>
    </row>
    <row r="69" spans="1:6" x14ac:dyDescent="0.3">
      <c r="A69" s="14" t="s">
        <v>62</v>
      </c>
      <c r="B69" s="14" t="s">
        <v>779</v>
      </c>
      <c r="C69" s="18" t="s">
        <v>967</v>
      </c>
      <c r="D69" s="16" t="s">
        <v>489</v>
      </c>
      <c r="E69" s="18" t="s">
        <v>968</v>
      </c>
      <c r="F69" s="18" t="s">
        <v>969</v>
      </c>
    </row>
    <row r="70" spans="1:6" x14ac:dyDescent="0.3">
      <c r="A70" s="8" t="s">
        <v>62</v>
      </c>
      <c r="B70" s="8" t="s">
        <v>779</v>
      </c>
      <c r="C70" s="12" t="s">
        <v>970</v>
      </c>
      <c r="D70" s="10" t="s">
        <v>489</v>
      </c>
      <c r="E70" s="12" t="s">
        <v>971</v>
      </c>
      <c r="F70" s="12" t="s">
        <v>972</v>
      </c>
    </row>
    <row r="71" spans="1:6" x14ac:dyDescent="0.3">
      <c r="A71" s="14" t="s">
        <v>62</v>
      </c>
      <c r="B71" s="14" t="s">
        <v>779</v>
      </c>
      <c r="C71" s="18" t="s">
        <v>973</v>
      </c>
      <c r="D71" s="16" t="s">
        <v>483</v>
      </c>
      <c r="E71" s="18" t="s">
        <v>974</v>
      </c>
      <c r="F71" s="18" t="s">
        <v>961</v>
      </c>
    </row>
    <row r="72" spans="1:6" x14ac:dyDescent="0.3">
      <c r="A72" s="8" t="s">
        <v>62</v>
      </c>
      <c r="B72" s="8" t="s">
        <v>779</v>
      </c>
      <c r="C72" s="12" t="s">
        <v>975</v>
      </c>
      <c r="D72" s="10" t="s">
        <v>448</v>
      </c>
      <c r="E72" s="12" t="s">
        <v>976</v>
      </c>
      <c r="F72" s="12" t="s">
        <v>97</v>
      </c>
    </row>
    <row r="73" spans="1:6" x14ac:dyDescent="0.3">
      <c r="A73" s="14" t="s">
        <v>62</v>
      </c>
      <c r="B73" s="14" t="s">
        <v>779</v>
      </c>
      <c r="C73" s="18" t="s">
        <v>977</v>
      </c>
      <c r="D73" s="16" t="s">
        <v>502</v>
      </c>
      <c r="E73" s="18" t="s">
        <v>978</v>
      </c>
      <c r="F73" s="18" t="s">
        <v>964</v>
      </c>
    </row>
    <row r="74" spans="1:6" x14ac:dyDescent="0.3">
      <c r="A74" s="8" t="s">
        <v>62</v>
      </c>
      <c r="B74" s="8" t="s">
        <v>779</v>
      </c>
      <c r="C74" s="12" t="s">
        <v>979</v>
      </c>
      <c r="D74" s="10" t="s">
        <v>436</v>
      </c>
      <c r="E74" s="12" t="s">
        <v>980</v>
      </c>
      <c r="F74" s="12" t="s">
        <v>981</v>
      </c>
    </row>
    <row r="75" spans="1:6" x14ac:dyDescent="0.3">
      <c r="A75" s="14" t="s">
        <v>67</v>
      </c>
      <c r="B75" s="14" t="s">
        <v>982</v>
      </c>
      <c r="C75" s="18" t="s">
        <v>983</v>
      </c>
      <c r="D75" s="16" t="s">
        <v>424</v>
      </c>
      <c r="E75" s="18" t="s">
        <v>984</v>
      </c>
      <c r="F75" s="18" t="s">
        <v>985</v>
      </c>
    </row>
    <row r="76" spans="1:6" x14ac:dyDescent="0.3">
      <c r="A76" s="8" t="s">
        <v>67</v>
      </c>
      <c r="B76" s="8" t="s">
        <v>982</v>
      </c>
      <c r="C76" s="12" t="s">
        <v>986</v>
      </c>
      <c r="D76" s="10" t="s">
        <v>424</v>
      </c>
      <c r="E76" s="12" t="s">
        <v>987</v>
      </c>
      <c r="F76" s="12" t="s">
        <v>985</v>
      </c>
    </row>
    <row r="77" spans="1:6" x14ac:dyDescent="0.3">
      <c r="A77" s="14" t="s">
        <v>67</v>
      </c>
      <c r="B77" s="14" t="s">
        <v>982</v>
      </c>
      <c r="C77" s="18" t="s">
        <v>988</v>
      </c>
      <c r="D77" s="16" t="s">
        <v>483</v>
      </c>
      <c r="E77" s="18" t="s">
        <v>989</v>
      </c>
      <c r="F77" s="18" t="s">
        <v>990</v>
      </c>
    </row>
    <row r="78" spans="1:6" x14ac:dyDescent="0.3">
      <c r="A78" s="8" t="s">
        <v>67</v>
      </c>
      <c r="B78" s="8" t="s">
        <v>982</v>
      </c>
      <c r="C78" s="12" t="s">
        <v>991</v>
      </c>
      <c r="D78" s="10" t="s">
        <v>463</v>
      </c>
      <c r="E78" s="12" t="s">
        <v>992</v>
      </c>
      <c r="F78" s="12" t="s">
        <v>947</v>
      </c>
    </row>
    <row r="79" spans="1:6" x14ac:dyDescent="0.3">
      <c r="A79" s="14" t="s">
        <v>67</v>
      </c>
      <c r="B79" s="14" t="s">
        <v>982</v>
      </c>
      <c r="C79" s="18" t="s">
        <v>993</v>
      </c>
      <c r="D79" s="16" t="s">
        <v>506</v>
      </c>
      <c r="E79" s="18" t="s">
        <v>984</v>
      </c>
      <c r="F79" s="18" t="s">
        <v>994</v>
      </c>
    </row>
    <row r="80" spans="1:6" x14ac:dyDescent="0.3">
      <c r="A80" s="8" t="s">
        <v>67</v>
      </c>
      <c r="B80" s="8" t="s">
        <v>982</v>
      </c>
      <c r="C80" s="12" t="s">
        <v>995</v>
      </c>
      <c r="D80" s="10" t="s">
        <v>489</v>
      </c>
      <c r="E80" s="12" t="s">
        <v>996</v>
      </c>
      <c r="F80" s="12" t="s">
        <v>952</v>
      </c>
    </row>
    <row r="81" spans="1:6" x14ac:dyDescent="0.3">
      <c r="A81" s="14" t="s">
        <v>67</v>
      </c>
      <c r="B81" s="14" t="s">
        <v>982</v>
      </c>
      <c r="C81" s="18" t="s">
        <v>997</v>
      </c>
      <c r="D81" s="16" t="s">
        <v>392</v>
      </c>
      <c r="E81" s="18" t="s">
        <v>998</v>
      </c>
      <c r="F81" s="18" t="s">
        <v>999</v>
      </c>
    </row>
    <row r="82" spans="1:6" x14ac:dyDescent="0.3">
      <c r="A82" s="8" t="s">
        <v>67</v>
      </c>
      <c r="B82" s="8" t="s">
        <v>982</v>
      </c>
      <c r="C82" s="12" t="s">
        <v>1000</v>
      </c>
      <c r="D82" s="10" t="s">
        <v>489</v>
      </c>
      <c r="E82" s="12" t="s">
        <v>1001</v>
      </c>
      <c r="F82" s="12" t="s">
        <v>952</v>
      </c>
    </row>
    <row r="83" spans="1:6" x14ac:dyDescent="0.3">
      <c r="A83" s="14" t="s">
        <v>67</v>
      </c>
      <c r="B83" s="14" t="s">
        <v>982</v>
      </c>
      <c r="C83" s="18" t="s">
        <v>1002</v>
      </c>
      <c r="D83" s="16" t="s">
        <v>424</v>
      </c>
      <c r="E83" s="18" t="s">
        <v>1003</v>
      </c>
      <c r="F83" s="18" t="s">
        <v>985</v>
      </c>
    </row>
    <row r="84" spans="1:6" x14ac:dyDescent="0.3">
      <c r="A84" s="8" t="s">
        <v>67</v>
      </c>
      <c r="B84" s="8" t="s">
        <v>1004</v>
      </c>
      <c r="C84" s="12" t="s">
        <v>1005</v>
      </c>
      <c r="D84" s="10" t="s">
        <v>424</v>
      </c>
      <c r="E84" s="12" t="s">
        <v>1006</v>
      </c>
      <c r="F84" s="12" t="s">
        <v>1007</v>
      </c>
    </row>
    <row r="85" spans="1:6" x14ac:dyDescent="0.3">
      <c r="A85" s="14" t="s">
        <v>67</v>
      </c>
      <c r="B85" s="14" t="s">
        <v>1004</v>
      </c>
      <c r="C85" s="18" t="s">
        <v>1008</v>
      </c>
      <c r="D85" s="16" t="s">
        <v>502</v>
      </c>
      <c r="E85" s="18" t="s">
        <v>984</v>
      </c>
      <c r="F85" s="18" t="s">
        <v>1009</v>
      </c>
    </row>
    <row r="86" spans="1:6" x14ac:dyDescent="0.3">
      <c r="A86" s="8" t="s">
        <v>67</v>
      </c>
      <c r="B86" s="8" t="s">
        <v>1004</v>
      </c>
      <c r="C86" s="12" t="s">
        <v>1010</v>
      </c>
      <c r="D86" s="10" t="s">
        <v>506</v>
      </c>
      <c r="E86" s="12" t="s">
        <v>1011</v>
      </c>
      <c r="F86" s="12" t="s">
        <v>994</v>
      </c>
    </row>
    <row r="87" spans="1:6" x14ac:dyDescent="0.3">
      <c r="A87" s="14" t="s">
        <v>67</v>
      </c>
      <c r="B87" s="14" t="s">
        <v>1004</v>
      </c>
      <c r="C87" s="18" t="s">
        <v>1012</v>
      </c>
      <c r="D87" s="16" t="s">
        <v>463</v>
      </c>
      <c r="E87" s="18" t="s">
        <v>1013</v>
      </c>
      <c r="F87" s="18" t="s">
        <v>947</v>
      </c>
    </row>
    <row r="88" spans="1:6" x14ac:dyDescent="0.3">
      <c r="A88" s="8" t="s">
        <v>67</v>
      </c>
      <c r="B88" s="8" t="s">
        <v>1004</v>
      </c>
      <c r="C88" s="12" t="s">
        <v>1014</v>
      </c>
      <c r="D88" s="10" t="s">
        <v>392</v>
      </c>
      <c r="E88" s="12" t="s">
        <v>1015</v>
      </c>
      <c r="F88" s="12" t="s">
        <v>999</v>
      </c>
    </row>
    <row r="89" spans="1:6" x14ac:dyDescent="0.3">
      <c r="A89" s="14" t="s">
        <v>67</v>
      </c>
      <c r="B89" s="14" t="s">
        <v>1016</v>
      </c>
      <c r="C89" s="18" t="s">
        <v>1017</v>
      </c>
      <c r="D89" s="16" t="s">
        <v>400</v>
      </c>
      <c r="E89" s="18" t="s">
        <v>1018</v>
      </c>
      <c r="F89" s="18" t="s">
        <v>1019</v>
      </c>
    </row>
    <row r="90" spans="1:6" x14ac:dyDescent="0.3">
      <c r="A90" s="8" t="s">
        <v>58</v>
      </c>
      <c r="B90" s="8" t="s">
        <v>1020</v>
      </c>
      <c r="C90" s="12" t="s">
        <v>1021</v>
      </c>
      <c r="D90" s="10" t="s">
        <v>392</v>
      </c>
      <c r="E90" s="12" t="s">
        <v>1022</v>
      </c>
      <c r="F90" s="12" t="s">
        <v>1023</v>
      </c>
    </row>
    <row r="91" spans="1:6" x14ac:dyDescent="0.3">
      <c r="A91" s="14" t="s">
        <v>58</v>
      </c>
      <c r="B91" s="14" t="s">
        <v>1020</v>
      </c>
      <c r="C91" s="18" t="s">
        <v>1014</v>
      </c>
      <c r="D91" s="16" t="s">
        <v>400</v>
      </c>
      <c r="E91" s="18" t="s">
        <v>1024</v>
      </c>
      <c r="F91" s="18" t="s">
        <v>1025</v>
      </c>
    </row>
    <row r="92" spans="1:6" x14ac:dyDescent="0.3">
      <c r="A92" s="8" t="s">
        <v>58</v>
      </c>
      <c r="B92" s="8" t="s">
        <v>1020</v>
      </c>
      <c r="C92" s="12" t="s">
        <v>1026</v>
      </c>
      <c r="D92" s="10" t="s">
        <v>420</v>
      </c>
      <c r="E92" s="12" t="s">
        <v>1027</v>
      </c>
      <c r="F92" s="12" t="s">
        <v>1028</v>
      </c>
    </row>
    <row r="93" spans="1:6" x14ac:dyDescent="0.3">
      <c r="A93" s="14" t="s">
        <v>58</v>
      </c>
      <c r="B93" s="14" t="s">
        <v>1020</v>
      </c>
      <c r="C93" s="18" t="s">
        <v>1029</v>
      </c>
      <c r="D93" s="16" t="s">
        <v>400</v>
      </c>
      <c r="E93" s="18" t="s">
        <v>1030</v>
      </c>
      <c r="F93" s="18" t="s">
        <v>1025</v>
      </c>
    </row>
    <row r="94" spans="1:6" x14ac:dyDescent="0.3">
      <c r="A94" s="8" t="s">
        <v>58</v>
      </c>
      <c r="B94" s="8" t="s">
        <v>1020</v>
      </c>
      <c r="C94" s="12" t="s">
        <v>1031</v>
      </c>
      <c r="D94" s="10" t="s">
        <v>430</v>
      </c>
      <c r="E94" s="12" t="s">
        <v>1032</v>
      </c>
      <c r="F94" s="12" t="s">
        <v>947</v>
      </c>
    </row>
    <row r="95" spans="1:6" x14ac:dyDescent="0.3">
      <c r="A95" s="14" t="s">
        <v>58</v>
      </c>
      <c r="B95" s="14" t="s">
        <v>1033</v>
      </c>
      <c r="C95" s="18" t="s">
        <v>1034</v>
      </c>
      <c r="D95" s="16" t="s">
        <v>1035</v>
      </c>
      <c r="E95" s="18" t="s">
        <v>1036</v>
      </c>
      <c r="F95" s="18" t="s">
        <v>1037</v>
      </c>
    </row>
    <row r="96" spans="1:6" ht="26.4" x14ac:dyDescent="0.3">
      <c r="A96" s="8" t="s">
        <v>58</v>
      </c>
      <c r="B96" s="8" t="s">
        <v>1038</v>
      </c>
      <c r="C96" s="12" t="s">
        <v>1039</v>
      </c>
      <c r="D96" s="10" t="s">
        <v>448</v>
      </c>
      <c r="E96" s="12" t="s">
        <v>1040</v>
      </c>
      <c r="F96" s="12" t="s">
        <v>1041</v>
      </c>
    </row>
    <row r="97" spans="1:6" ht="26.4" x14ac:dyDescent="0.3">
      <c r="A97" s="14" t="s">
        <v>71</v>
      </c>
      <c r="B97" s="14" t="s">
        <v>1042</v>
      </c>
      <c r="C97" s="18" t="s">
        <v>1043</v>
      </c>
      <c r="D97" s="16" t="s">
        <v>604</v>
      </c>
      <c r="E97" s="18" t="s">
        <v>781</v>
      </c>
      <c r="F97" s="18" t="s">
        <v>1044</v>
      </c>
    </row>
    <row r="98" spans="1:6" x14ac:dyDescent="0.3">
      <c r="A98" s="8" t="s">
        <v>71</v>
      </c>
      <c r="B98" s="8" t="s">
        <v>1042</v>
      </c>
      <c r="C98" s="12" t="s">
        <v>1045</v>
      </c>
      <c r="D98" s="10" t="s">
        <v>604</v>
      </c>
      <c r="E98" s="12" t="s">
        <v>1046</v>
      </c>
      <c r="F98" s="12" t="s">
        <v>1047</v>
      </c>
    </row>
    <row r="99" spans="1:6" x14ac:dyDescent="0.3">
      <c r="A99" s="14" t="s">
        <v>71</v>
      </c>
      <c r="B99" s="14" t="s">
        <v>1042</v>
      </c>
      <c r="C99" s="18" t="s">
        <v>1048</v>
      </c>
      <c r="D99" s="16" t="s">
        <v>604</v>
      </c>
      <c r="E99" s="18" t="s">
        <v>1049</v>
      </c>
      <c r="F99" s="18" t="s">
        <v>1047</v>
      </c>
    </row>
    <row r="100" spans="1:6" x14ac:dyDescent="0.3">
      <c r="A100" s="8" t="s">
        <v>71</v>
      </c>
      <c r="B100" s="8" t="s">
        <v>1042</v>
      </c>
      <c r="C100" s="12" t="s">
        <v>1050</v>
      </c>
      <c r="D100" s="10" t="s">
        <v>604</v>
      </c>
      <c r="E100" s="12" t="s">
        <v>1051</v>
      </c>
      <c r="F100" s="12" t="s">
        <v>1052</v>
      </c>
    </row>
    <row r="101" spans="1:6" x14ac:dyDescent="0.3">
      <c r="A101" s="14" t="s">
        <v>71</v>
      </c>
      <c r="B101" s="14" t="s">
        <v>1042</v>
      </c>
      <c r="C101" s="18" t="s">
        <v>1053</v>
      </c>
      <c r="D101" s="16" t="s">
        <v>645</v>
      </c>
      <c r="E101" s="18" t="s">
        <v>781</v>
      </c>
      <c r="F101" s="18" t="s">
        <v>836</v>
      </c>
    </row>
    <row r="102" spans="1:6" x14ac:dyDescent="0.3">
      <c r="A102" s="8" t="s">
        <v>71</v>
      </c>
      <c r="B102" s="8" t="s">
        <v>1042</v>
      </c>
      <c r="C102" s="12" t="s">
        <v>1054</v>
      </c>
      <c r="D102" s="10" t="s">
        <v>270</v>
      </c>
      <c r="E102" s="12" t="s">
        <v>1055</v>
      </c>
      <c r="F102" s="12" t="s">
        <v>1056</v>
      </c>
    </row>
    <row r="103" spans="1:6" x14ac:dyDescent="0.3">
      <c r="A103" s="14" t="s">
        <v>71</v>
      </c>
      <c r="B103" s="14" t="s">
        <v>1042</v>
      </c>
      <c r="C103" s="18" t="s">
        <v>1057</v>
      </c>
      <c r="D103" s="16" t="s">
        <v>270</v>
      </c>
      <c r="E103" s="18" t="s">
        <v>1058</v>
      </c>
      <c r="F103" s="18" t="s">
        <v>1056</v>
      </c>
    </row>
    <row r="104" spans="1:6" x14ac:dyDescent="0.3">
      <c r="A104" s="8" t="s">
        <v>71</v>
      </c>
      <c r="B104" s="8" t="s">
        <v>1042</v>
      </c>
      <c r="C104" s="12" t="s">
        <v>1059</v>
      </c>
      <c r="D104" s="10" t="s">
        <v>538</v>
      </c>
      <c r="E104" s="12" t="s">
        <v>1060</v>
      </c>
      <c r="F104" s="12" t="s">
        <v>1061</v>
      </c>
    </row>
    <row r="105" spans="1:6" x14ac:dyDescent="0.3">
      <c r="A105" s="14" t="s">
        <v>71</v>
      </c>
      <c r="B105" s="14" t="s">
        <v>1062</v>
      </c>
      <c r="C105" s="18" t="s">
        <v>1063</v>
      </c>
      <c r="D105" s="16" t="s">
        <v>538</v>
      </c>
      <c r="E105" s="18" t="s">
        <v>1064</v>
      </c>
      <c r="F105" s="18" t="s">
        <v>1061</v>
      </c>
    </row>
    <row r="106" spans="1:6" x14ac:dyDescent="0.3">
      <c r="A106" s="8" t="s">
        <v>71</v>
      </c>
      <c r="B106" s="8" t="s">
        <v>1065</v>
      </c>
      <c r="C106" s="12" t="s">
        <v>1066</v>
      </c>
      <c r="D106" s="10" t="s">
        <v>604</v>
      </c>
      <c r="E106" s="12" t="s">
        <v>1067</v>
      </c>
      <c r="F106" s="12" t="s">
        <v>1047</v>
      </c>
    </row>
    <row r="107" spans="1:6" x14ac:dyDescent="0.3">
      <c r="A107" s="14" t="s">
        <v>71</v>
      </c>
      <c r="B107" s="14" t="s">
        <v>1068</v>
      </c>
      <c r="C107" s="18" t="s">
        <v>1069</v>
      </c>
      <c r="D107" s="16" t="s">
        <v>604</v>
      </c>
      <c r="E107" s="18" t="s">
        <v>1070</v>
      </c>
      <c r="F107" s="18" t="s">
        <v>1052</v>
      </c>
    </row>
    <row r="108" spans="1:6" x14ac:dyDescent="0.3">
      <c r="A108" s="8" t="s">
        <v>76</v>
      </c>
      <c r="B108" s="8" t="s">
        <v>1071</v>
      </c>
      <c r="C108" s="12" t="s">
        <v>1072</v>
      </c>
      <c r="D108" s="10" t="s">
        <v>645</v>
      </c>
      <c r="E108" s="12" t="s">
        <v>1073</v>
      </c>
      <c r="F108" s="12" t="s">
        <v>836</v>
      </c>
    </row>
    <row r="109" spans="1:6" x14ac:dyDescent="0.3">
      <c r="A109" s="14" t="s">
        <v>76</v>
      </c>
      <c r="B109" s="14" t="s">
        <v>1071</v>
      </c>
      <c r="C109" s="18" t="s">
        <v>1074</v>
      </c>
      <c r="D109" s="16" t="s">
        <v>645</v>
      </c>
      <c r="E109" s="18" t="s">
        <v>1075</v>
      </c>
      <c r="F109" s="18" t="s">
        <v>836</v>
      </c>
    </row>
    <row r="110" spans="1:6" x14ac:dyDescent="0.3">
      <c r="A110" s="8" t="s">
        <v>76</v>
      </c>
      <c r="B110" s="8" t="s">
        <v>1071</v>
      </c>
      <c r="C110" s="12" t="s">
        <v>1076</v>
      </c>
      <c r="D110" s="10" t="s">
        <v>604</v>
      </c>
      <c r="E110" s="12" t="s">
        <v>1077</v>
      </c>
      <c r="F110" s="12" t="s">
        <v>1078</v>
      </c>
    </row>
    <row r="111" spans="1:6" x14ac:dyDescent="0.3">
      <c r="A111" s="14" t="s">
        <v>76</v>
      </c>
      <c r="B111" s="14" t="s">
        <v>1071</v>
      </c>
      <c r="C111" s="18" t="s">
        <v>619</v>
      </c>
      <c r="D111" s="16" t="s">
        <v>604</v>
      </c>
      <c r="E111" s="18" t="s">
        <v>1079</v>
      </c>
      <c r="F111" s="18" t="s">
        <v>1078</v>
      </c>
    </row>
    <row r="112" spans="1:6" x14ac:dyDescent="0.3">
      <c r="A112" s="8" t="s">
        <v>76</v>
      </c>
      <c r="B112" s="8" t="s">
        <v>1071</v>
      </c>
      <c r="C112" s="12" t="s">
        <v>1080</v>
      </c>
      <c r="D112" s="10" t="s">
        <v>270</v>
      </c>
      <c r="E112" s="12" t="s">
        <v>1081</v>
      </c>
      <c r="F112" s="12" t="s">
        <v>1082</v>
      </c>
    </row>
    <row r="113" spans="1:6" x14ac:dyDescent="0.3">
      <c r="A113" s="14" t="s">
        <v>76</v>
      </c>
      <c r="B113" s="14" t="s">
        <v>1083</v>
      </c>
      <c r="C113" s="18" t="s">
        <v>1069</v>
      </c>
      <c r="D113" s="16" t="s">
        <v>604</v>
      </c>
      <c r="E113" s="18" t="s">
        <v>1084</v>
      </c>
      <c r="F113" s="18" t="s">
        <v>1078</v>
      </c>
    </row>
    <row r="114" spans="1:6" x14ac:dyDescent="0.3">
      <c r="A114" s="8" t="s">
        <v>76</v>
      </c>
      <c r="B114" s="8" t="s">
        <v>1085</v>
      </c>
      <c r="C114" s="12" t="s">
        <v>1086</v>
      </c>
      <c r="D114" s="10" t="s">
        <v>655</v>
      </c>
      <c r="E114" s="12" t="s">
        <v>1087</v>
      </c>
      <c r="F114" s="12" t="s">
        <v>1088</v>
      </c>
    </row>
    <row r="115" spans="1:6" x14ac:dyDescent="0.3">
      <c r="A115" s="14" t="s">
        <v>76</v>
      </c>
      <c r="B115" s="14" t="s">
        <v>1089</v>
      </c>
      <c r="C115" s="18" t="s">
        <v>1090</v>
      </c>
      <c r="D115" s="16" t="s">
        <v>645</v>
      </c>
      <c r="E115" s="18" t="s">
        <v>1091</v>
      </c>
      <c r="F115" s="18" t="s">
        <v>836</v>
      </c>
    </row>
    <row r="116" spans="1:6" x14ac:dyDescent="0.3">
      <c r="A116" s="8" t="s">
        <v>76</v>
      </c>
      <c r="B116" s="8" t="s">
        <v>1092</v>
      </c>
      <c r="C116" s="12" t="s">
        <v>1093</v>
      </c>
      <c r="D116" s="10" t="s">
        <v>1094</v>
      </c>
      <c r="E116" s="12" t="s">
        <v>1095</v>
      </c>
      <c r="F116" s="12" t="s">
        <v>1096</v>
      </c>
    </row>
    <row r="117" spans="1:6" x14ac:dyDescent="0.3">
      <c r="A117" s="14" t="s">
        <v>80</v>
      </c>
      <c r="B117" s="14" t="s">
        <v>884</v>
      </c>
      <c r="C117" s="18" t="s">
        <v>1097</v>
      </c>
      <c r="D117" s="16" t="s">
        <v>692</v>
      </c>
      <c r="E117" s="18" t="s">
        <v>1098</v>
      </c>
      <c r="F117" s="18" t="s">
        <v>1099</v>
      </c>
    </row>
    <row r="118" spans="1:6" x14ac:dyDescent="0.3">
      <c r="A118" s="8" t="s">
        <v>80</v>
      </c>
      <c r="B118" s="8" t="s">
        <v>884</v>
      </c>
      <c r="C118" s="12" t="s">
        <v>1100</v>
      </c>
      <c r="D118" s="10" t="s">
        <v>685</v>
      </c>
      <c r="E118" s="12" t="s">
        <v>1101</v>
      </c>
      <c r="F118" s="12" t="s">
        <v>1102</v>
      </c>
    </row>
    <row r="119" spans="1:6" x14ac:dyDescent="0.3">
      <c r="A119" s="14" t="s">
        <v>80</v>
      </c>
      <c r="B119" s="14" t="s">
        <v>884</v>
      </c>
      <c r="C119" s="18" t="s">
        <v>1103</v>
      </c>
      <c r="D119" s="16" t="s">
        <v>103</v>
      </c>
      <c r="E119" s="18" t="s">
        <v>1104</v>
      </c>
      <c r="F119" s="18" t="s">
        <v>1105</v>
      </c>
    </row>
    <row r="120" spans="1:6" x14ac:dyDescent="0.3">
      <c r="A120" s="8" t="s">
        <v>80</v>
      </c>
      <c r="B120" s="8" t="s">
        <v>884</v>
      </c>
      <c r="C120" s="12" t="s">
        <v>1106</v>
      </c>
      <c r="D120" s="10" t="s">
        <v>270</v>
      </c>
      <c r="E120" s="12" t="s">
        <v>1107</v>
      </c>
      <c r="F120" s="12" t="s">
        <v>1108</v>
      </c>
    </row>
    <row r="121" spans="1:6" x14ac:dyDescent="0.3">
      <c r="A121" s="14" t="s">
        <v>80</v>
      </c>
      <c r="B121" s="14" t="s">
        <v>884</v>
      </c>
      <c r="C121" s="18" t="s">
        <v>1109</v>
      </c>
      <c r="D121" s="16" t="s">
        <v>270</v>
      </c>
      <c r="E121" s="18" t="s">
        <v>1110</v>
      </c>
      <c r="F121" s="18" t="s">
        <v>1108</v>
      </c>
    </row>
    <row r="122" spans="1:6" x14ac:dyDescent="0.3">
      <c r="A122" s="8" t="s">
        <v>80</v>
      </c>
      <c r="B122" s="8" t="s">
        <v>884</v>
      </c>
      <c r="C122" s="12" t="s">
        <v>1111</v>
      </c>
      <c r="D122" s="10" t="s">
        <v>685</v>
      </c>
      <c r="E122" s="12" t="s">
        <v>1112</v>
      </c>
      <c r="F122" s="12" t="s">
        <v>1102</v>
      </c>
    </row>
    <row r="123" spans="1:6" x14ac:dyDescent="0.3">
      <c r="A123" s="14" t="s">
        <v>80</v>
      </c>
      <c r="B123" s="14" t="s">
        <v>884</v>
      </c>
      <c r="C123" s="18" t="s">
        <v>1113</v>
      </c>
      <c r="D123" s="16" t="s">
        <v>692</v>
      </c>
      <c r="E123" s="18" t="s">
        <v>1114</v>
      </c>
      <c r="F123" s="18" t="s">
        <v>1099</v>
      </c>
    </row>
    <row r="124" spans="1:6" x14ac:dyDescent="0.3">
      <c r="A124" s="8" t="s">
        <v>80</v>
      </c>
      <c r="B124" s="8" t="s">
        <v>884</v>
      </c>
      <c r="C124" s="12" t="s">
        <v>1115</v>
      </c>
      <c r="D124" s="10" t="s">
        <v>270</v>
      </c>
      <c r="E124" s="12" t="s">
        <v>1116</v>
      </c>
      <c r="F124" s="12" t="s">
        <v>1108</v>
      </c>
    </row>
    <row r="125" spans="1:6" x14ac:dyDescent="0.3">
      <c r="A125" s="14" t="s">
        <v>80</v>
      </c>
      <c r="B125" s="14" t="s">
        <v>884</v>
      </c>
      <c r="C125" s="18" t="s">
        <v>834</v>
      </c>
      <c r="D125" s="16" t="s">
        <v>645</v>
      </c>
      <c r="E125" s="18" t="s">
        <v>1117</v>
      </c>
      <c r="F125" s="18" t="s">
        <v>1118</v>
      </c>
    </row>
    <row r="126" spans="1:6" x14ac:dyDescent="0.3">
      <c r="A126" s="8" t="s">
        <v>80</v>
      </c>
      <c r="B126" s="8" t="s">
        <v>884</v>
      </c>
      <c r="C126" s="12" t="s">
        <v>1119</v>
      </c>
      <c r="D126" s="10" t="s">
        <v>692</v>
      </c>
      <c r="E126" s="12" t="s">
        <v>1120</v>
      </c>
      <c r="F126" s="12" t="s">
        <v>1099</v>
      </c>
    </row>
    <row r="127" spans="1:6" ht="26.4" x14ac:dyDescent="0.3">
      <c r="A127" s="14" t="s">
        <v>80</v>
      </c>
      <c r="B127" s="14" t="s">
        <v>1121</v>
      </c>
      <c r="C127" s="18" t="s">
        <v>1122</v>
      </c>
      <c r="D127" s="16" t="s">
        <v>538</v>
      </c>
      <c r="E127" s="18" t="s">
        <v>1123</v>
      </c>
      <c r="F127" s="18" t="s">
        <v>1124</v>
      </c>
    </row>
    <row r="128" spans="1:6" x14ac:dyDescent="0.3">
      <c r="A128" s="8" t="s">
        <v>80</v>
      </c>
      <c r="B128" s="8" t="s">
        <v>1125</v>
      </c>
      <c r="C128" s="12" t="s">
        <v>1126</v>
      </c>
      <c r="D128" s="10" t="s">
        <v>270</v>
      </c>
      <c r="E128" s="12" t="s">
        <v>1127</v>
      </c>
      <c r="F128" s="12" t="s">
        <v>1108</v>
      </c>
    </row>
    <row r="129" spans="1:6" x14ac:dyDescent="0.3">
      <c r="A129" s="14" t="s">
        <v>80</v>
      </c>
      <c r="B129" s="14" t="s">
        <v>1128</v>
      </c>
      <c r="C129" s="18" t="s">
        <v>1129</v>
      </c>
      <c r="D129" s="16" t="s">
        <v>538</v>
      </c>
      <c r="E129" s="18" t="s">
        <v>1130</v>
      </c>
      <c r="F129" s="18" t="s">
        <v>1124</v>
      </c>
    </row>
    <row r="130" spans="1:6" x14ac:dyDescent="0.3">
      <c r="A130" s="8" t="s">
        <v>80</v>
      </c>
      <c r="B130" s="8" t="s">
        <v>1131</v>
      </c>
      <c r="C130" s="12" t="s">
        <v>1132</v>
      </c>
      <c r="D130" s="10" t="s">
        <v>685</v>
      </c>
      <c r="E130" s="12" t="s">
        <v>1133</v>
      </c>
      <c r="F130" s="12" t="s">
        <v>1102</v>
      </c>
    </row>
    <row r="131" spans="1:6" x14ac:dyDescent="0.3">
      <c r="A131" s="14" t="s">
        <v>83</v>
      </c>
      <c r="B131" s="14" t="s">
        <v>884</v>
      </c>
      <c r="C131" s="18" t="s">
        <v>1134</v>
      </c>
      <c r="D131" s="16" t="s">
        <v>270</v>
      </c>
      <c r="E131" s="18" t="s">
        <v>1135</v>
      </c>
      <c r="F131" s="18" t="s">
        <v>1136</v>
      </c>
    </row>
    <row r="132" spans="1:6" x14ac:dyDescent="0.3">
      <c r="A132" s="8" t="s">
        <v>83</v>
      </c>
      <c r="B132" s="8" t="s">
        <v>884</v>
      </c>
      <c r="C132" s="12" t="s">
        <v>1137</v>
      </c>
      <c r="D132" s="10" t="s">
        <v>692</v>
      </c>
      <c r="E132" s="12" t="s">
        <v>1138</v>
      </c>
      <c r="F132" s="12" t="s">
        <v>1099</v>
      </c>
    </row>
    <row r="133" spans="1:6" x14ac:dyDescent="0.3">
      <c r="A133" s="14" t="s">
        <v>83</v>
      </c>
      <c r="B133" s="14" t="s">
        <v>884</v>
      </c>
      <c r="C133" s="18" t="s">
        <v>1139</v>
      </c>
      <c r="D133" s="16" t="s">
        <v>685</v>
      </c>
      <c r="E133" s="18" t="s">
        <v>1140</v>
      </c>
      <c r="F133" s="18" t="s">
        <v>1141</v>
      </c>
    </row>
    <row r="134" spans="1:6" x14ac:dyDescent="0.3">
      <c r="A134" s="8" t="s">
        <v>83</v>
      </c>
      <c r="B134" s="8" t="s">
        <v>884</v>
      </c>
      <c r="C134" s="12" t="s">
        <v>1142</v>
      </c>
      <c r="D134" s="10" t="s">
        <v>655</v>
      </c>
      <c r="E134" s="12" t="s">
        <v>1143</v>
      </c>
      <c r="F134" s="12" t="s">
        <v>1088</v>
      </c>
    </row>
    <row r="135" spans="1:6" x14ac:dyDescent="0.3">
      <c r="A135" s="14" t="s">
        <v>83</v>
      </c>
      <c r="B135" s="14" t="s">
        <v>884</v>
      </c>
      <c r="C135" s="18" t="s">
        <v>1144</v>
      </c>
      <c r="D135" s="16" t="s">
        <v>645</v>
      </c>
      <c r="E135" s="18" t="s">
        <v>1145</v>
      </c>
      <c r="F135" s="18" t="s">
        <v>1146</v>
      </c>
    </row>
    <row r="136" spans="1:6" x14ac:dyDescent="0.3">
      <c r="A136" s="8" t="s">
        <v>83</v>
      </c>
      <c r="B136" s="8" t="s">
        <v>884</v>
      </c>
      <c r="C136" s="12" t="s">
        <v>1147</v>
      </c>
      <c r="D136" s="10" t="s">
        <v>98</v>
      </c>
      <c r="E136" s="12" t="s">
        <v>1148</v>
      </c>
      <c r="F136" s="12" t="s">
        <v>1149</v>
      </c>
    </row>
    <row r="137" spans="1:6" x14ac:dyDescent="0.3">
      <c r="A137" s="14" t="s">
        <v>83</v>
      </c>
      <c r="B137" s="14" t="s">
        <v>884</v>
      </c>
      <c r="C137" s="18" t="s">
        <v>1150</v>
      </c>
      <c r="D137" s="16" t="s">
        <v>692</v>
      </c>
      <c r="E137" s="18" t="s">
        <v>1151</v>
      </c>
      <c r="F137" s="18" t="s">
        <v>1099</v>
      </c>
    </row>
    <row r="138" spans="1:6" x14ac:dyDescent="0.3">
      <c r="A138" s="8" t="s">
        <v>83</v>
      </c>
      <c r="B138" s="8" t="s">
        <v>1085</v>
      </c>
      <c r="C138" s="12" t="s">
        <v>1126</v>
      </c>
      <c r="D138" s="10" t="s">
        <v>655</v>
      </c>
      <c r="E138" s="12" t="s">
        <v>1152</v>
      </c>
      <c r="F138" s="12" t="s">
        <v>1088</v>
      </c>
    </row>
    <row r="139" spans="1:6" x14ac:dyDescent="0.3">
      <c r="A139" s="14" t="s">
        <v>86</v>
      </c>
      <c r="B139" s="14" t="s">
        <v>1153</v>
      </c>
      <c r="C139" s="18" t="s">
        <v>1154</v>
      </c>
      <c r="D139" s="16" t="s">
        <v>118</v>
      </c>
      <c r="E139" s="18" t="s">
        <v>1155</v>
      </c>
      <c r="F139" s="18" t="s">
        <v>1156</v>
      </c>
    </row>
    <row r="140" spans="1:6" x14ac:dyDescent="0.3">
      <c r="A140" s="8" t="s">
        <v>86</v>
      </c>
      <c r="B140" s="8" t="s">
        <v>1157</v>
      </c>
      <c r="C140" s="12" t="s">
        <v>1158</v>
      </c>
      <c r="D140" s="10" t="s">
        <v>392</v>
      </c>
      <c r="E140" s="12" t="s">
        <v>1159</v>
      </c>
      <c r="F140" s="12" t="s">
        <v>1160</v>
      </c>
    </row>
    <row r="141" spans="1:6" ht="26.4" x14ac:dyDescent="0.3">
      <c r="A141" s="14" t="s">
        <v>86</v>
      </c>
      <c r="B141" s="14" t="s">
        <v>1161</v>
      </c>
      <c r="C141" s="18" t="s">
        <v>1162</v>
      </c>
      <c r="D141" s="16" t="s">
        <v>392</v>
      </c>
      <c r="E141" s="18" t="s">
        <v>1163</v>
      </c>
      <c r="F141" s="18" t="s">
        <v>1160</v>
      </c>
    </row>
    <row r="142" spans="1:6" ht="26.4" x14ac:dyDescent="0.3">
      <c r="A142" s="8" t="s">
        <v>86</v>
      </c>
      <c r="B142" s="8" t="s">
        <v>1164</v>
      </c>
      <c r="C142" s="12" t="s">
        <v>1165</v>
      </c>
      <c r="D142" s="10" t="s">
        <v>1166</v>
      </c>
      <c r="E142" s="12" t="s">
        <v>1167</v>
      </c>
      <c r="F142" s="12" t="s">
        <v>1168</v>
      </c>
    </row>
    <row r="143" spans="1:6" ht="26.4" x14ac:dyDescent="0.3">
      <c r="A143" s="14" t="s">
        <v>86</v>
      </c>
      <c r="B143" s="14" t="s">
        <v>1169</v>
      </c>
      <c r="C143" s="18" t="s">
        <v>1170</v>
      </c>
      <c r="D143" s="16" t="s">
        <v>121</v>
      </c>
      <c r="E143" s="18" t="s">
        <v>1171</v>
      </c>
      <c r="F143" s="18" t="s">
        <v>1168</v>
      </c>
    </row>
    <row r="144" spans="1:6" ht="26.4" x14ac:dyDescent="0.3">
      <c r="A144" s="8" t="s">
        <v>86</v>
      </c>
      <c r="B144" s="8" t="s">
        <v>1172</v>
      </c>
      <c r="C144" s="12" t="s">
        <v>1173</v>
      </c>
      <c r="D144" s="10" t="s">
        <v>1174</v>
      </c>
      <c r="E144" s="12" t="s">
        <v>1175</v>
      </c>
      <c r="F144" s="12" t="s">
        <v>1176</v>
      </c>
    </row>
    <row r="145" spans="1:6" ht="26.4" x14ac:dyDescent="0.3">
      <c r="A145" s="14" t="s">
        <v>86</v>
      </c>
      <c r="B145" s="14" t="s">
        <v>1177</v>
      </c>
      <c r="C145" s="18" t="s">
        <v>1178</v>
      </c>
      <c r="D145" s="16" t="s">
        <v>270</v>
      </c>
      <c r="E145" s="18" t="s">
        <v>1179</v>
      </c>
      <c r="F145" s="18" t="s">
        <v>1180</v>
      </c>
    </row>
    <row r="146" spans="1:6" x14ac:dyDescent="0.3">
      <c r="A146" s="8" t="s">
        <v>86</v>
      </c>
      <c r="B146" s="8" t="s">
        <v>1181</v>
      </c>
      <c r="C146" s="12" t="s">
        <v>1182</v>
      </c>
      <c r="D146" s="10" t="s">
        <v>392</v>
      </c>
      <c r="E146" s="12" t="s">
        <v>1183</v>
      </c>
      <c r="F146" s="12" t="s">
        <v>1160</v>
      </c>
    </row>
    <row r="147" spans="1:6" x14ac:dyDescent="0.3">
      <c r="A147" s="14" t="s">
        <v>86</v>
      </c>
      <c r="B147" s="14" t="s">
        <v>1181</v>
      </c>
      <c r="C147" s="18" t="s">
        <v>1184</v>
      </c>
      <c r="D147" s="16" t="s">
        <v>121</v>
      </c>
      <c r="E147" s="18" t="s">
        <v>1185</v>
      </c>
      <c r="F147" s="18" t="s">
        <v>1168</v>
      </c>
    </row>
    <row r="148" spans="1:6" x14ac:dyDescent="0.3">
      <c r="A148" s="8" t="s">
        <v>86</v>
      </c>
      <c r="B148" s="8" t="s">
        <v>1181</v>
      </c>
      <c r="C148" s="12" t="s">
        <v>1186</v>
      </c>
      <c r="D148" s="10" t="s">
        <v>118</v>
      </c>
      <c r="E148" s="12" t="s">
        <v>1187</v>
      </c>
      <c r="F148" s="12" t="s">
        <v>1156</v>
      </c>
    </row>
  </sheetData>
  <autoFilter ref="A1:F14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showGridLines="0" workbookViewId="0">
      <pane ySplit="6" topLeftCell="A22" activePane="bottomLeft" state="frozen"/>
      <selection pane="bottomLeft" activeCell="A8" sqref="A8"/>
    </sheetView>
  </sheetViews>
  <sheetFormatPr defaultRowHeight="14.4" x14ac:dyDescent="0.3"/>
  <cols>
    <col min="1" max="1" width="30" customWidth="1"/>
    <col min="2" max="2" width="46" customWidth="1"/>
    <col min="3" max="3" width="50" customWidth="1"/>
    <col min="4" max="4" width="56" customWidth="1"/>
  </cols>
  <sheetData>
    <row r="1" spans="1:4" ht="17.399999999999999" x14ac:dyDescent="0.3">
      <c r="A1" s="1" t="s">
        <v>1188</v>
      </c>
    </row>
    <row r="2" spans="1:4" ht="58.05" customHeight="1" x14ac:dyDescent="0.3">
      <c r="A2" s="43" t="s">
        <v>1189</v>
      </c>
      <c r="B2" s="41"/>
      <c r="C2" s="41"/>
      <c r="D2" s="41"/>
    </row>
    <row r="4" spans="1:4" ht="60" customHeight="1" x14ac:dyDescent="0.3">
      <c r="A4" s="42" t="s">
        <v>1190</v>
      </c>
      <c r="B4" s="41"/>
      <c r="C4" s="41"/>
      <c r="D4" s="41"/>
    </row>
    <row r="6" spans="1:4" x14ac:dyDescent="0.3">
      <c r="A6" s="6" t="s">
        <v>1191</v>
      </c>
      <c r="B6" s="6" t="s">
        <v>1192</v>
      </c>
      <c r="C6" s="6" t="s">
        <v>1193</v>
      </c>
      <c r="D6" s="6" t="s">
        <v>1194</v>
      </c>
    </row>
    <row r="7" spans="1:4" ht="26.4" x14ac:dyDescent="0.3">
      <c r="A7" s="22" t="s">
        <v>1195</v>
      </c>
      <c r="B7" s="12" t="s">
        <v>1196</v>
      </c>
      <c r="C7" s="12" t="s">
        <v>1197</v>
      </c>
      <c r="D7" s="12" t="s">
        <v>1198</v>
      </c>
    </row>
    <row r="8" spans="1:4" ht="26.4" x14ac:dyDescent="0.3">
      <c r="A8" s="23" t="s">
        <v>1199</v>
      </c>
      <c r="B8" s="18" t="s">
        <v>1200</v>
      </c>
      <c r="C8" s="18" t="s">
        <v>1201</v>
      </c>
      <c r="D8" s="18" t="s">
        <v>1202</v>
      </c>
    </row>
    <row r="9" spans="1:4" ht="66" x14ac:dyDescent="0.3">
      <c r="A9" s="22" t="s">
        <v>1203</v>
      </c>
      <c r="B9" s="12" t="s">
        <v>1204</v>
      </c>
      <c r="C9" s="12" t="s">
        <v>1205</v>
      </c>
      <c r="D9" s="12" t="s">
        <v>1206</v>
      </c>
    </row>
    <row r="10" spans="1:4" ht="52.8" x14ac:dyDescent="0.3">
      <c r="A10" s="23" t="s">
        <v>1207</v>
      </c>
      <c r="B10" s="18" t="s">
        <v>1208</v>
      </c>
      <c r="C10" s="18" t="s">
        <v>1209</v>
      </c>
      <c r="D10" s="18" t="s">
        <v>1210</v>
      </c>
    </row>
    <row r="11" spans="1:4" ht="66" x14ac:dyDescent="0.3">
      <c r="A11" s="22" t="s">
        <v>1211</v>
      </c>
      <c r="B11" s="12" t="s">
        <v>1212</v>
      </c>
      <c r="C11" s="12" t="s">
        <v>1213</v>
      </c>
      <c r="D11" s="12" t="s">
        <v>1214</v>
      </c>
    </row>
    <row r="12" spans="1:4" ht="26.4" x14ac:dyDescent="0.3">
      <c r="A12" s="23" t="s">
        <v>1215</v>
      </c>
      <c r="B12" s="18" t="s">
        <v>1216</v>
      </c>
      <c r="C12" s="18" t="s">
        <v>1217</v>
      </c>
      <c r="D12" s="18" t="s">
        <v>1218</v>
      </c>
    </row>
    <row r="13" spans="1:4" ht="39.6" x14ac:dyDescent="0.3">
      <c r="A13" s="22" t="s">
        <v>1219</v>
      </c>
      <c r="B13" s="12" t="s">
        <v>1220</v>
      </c>
      <c r="C13" s="12" t="s">
        <v>1221</v>
      </c>
      <c r="D13" s="12" t="s">
        <v>1222</v>
      </c>
    </row>
    <row r="14" spans="1:4" ht="26.4" x14ac:dyDescent="0.3">
      <c r="A14" s="23" t="s">
        <v>1223</v>
      </c>
      <c r="B14" s="18" t="s">
        <v>1224</v>
      </c>
      <c r="C14" s="18" t="s">
        <v>1225</v>
      </c>
      <c r="D14" s="18" t="s">
        <v>1226</v>
      </c>
    </row>
    <row r="15" spans="1:4" ht="52.8" x14ac:dyDescent="0.3">
      <c r="A15" s="39" t="s">
        <v>1227</v>
      </c>
      <c r="B15" s="39" t="s">
        <v>1228</v>
      </c>
      <c r="C15" s="39" t="s">
        <v>1229</v>
      </c>
      <c r="D15" s="39" t="s">
        <v>1230</v>
      </c>
    </row>
    <row r="16" spans="1:4" ht="52.8" x14ac:dyDescent="0.3">
      <c r="A16" s="23" t="s">
        <v>1231</v>
      </c>
      <c r="B16" s="18" t="s">
        <v>1232</v>
      </c>
      <c r="C16" s="18" t="s">
        <v>1233</v>
      </c>
      <c r="D16" s="18" t="s">
        <v>1234</v>
      </c>
    </row>
  </sheetData>
  <mergeCells count="2">
    <mergeCell ref="A4:D4"/>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3"/>
  <sheetViews>
    <sheetView showGridLines="0" workbookViewId="0">
      <pane ySplit="4" topLeftCell="A5" activePane="bottomLeft" state="frozen"/>
      <selection pane="bottomLeft"/>
    </sheetView>
  </sheetViews>
  <sheetFormatPr defaultRowHeight="14.4" x14ac:dyDescent="0.3"/>
  <cols>
    <col min="1" max="1" width="27" customWidth="1"/>
    <col min="2" max="2" width="42" customWidth="1"/>
    <col min="3" max="3" width="46" customWidth="1"/>
    <col min="4" max="4" width="78" customWidth="1"/>
    <col min="5" max="5" width="11" customWidth="1"/>
    <col min="6" max="6" width="16" customWidth="1"/>
  </cols>
  <sheetData>
    <row r="1" spans="1:6" ht="17.399999999999999" x14ac:dyDescent="0.3">
      <c r="A1" s="1" t="s">
        <v>1235</v>
      </c>
    </row>
    <row r="2" spans="1:6" ht="30" customHeight="1" x14ac:dyDescent="0.3">
      <c r="A2" s="43" t="s">
        <v>1236</v>
      </c>
      <c r="B2" s="41"/>
      <c r="C2" s="41"/>
      <c r="D2" s="41"/>
      <c r="E2" s="41"/>
      <c r="F2" s="41"/>
    </row>
    <row r="4" spans="1:6" ht="30" customHeight="1" x14ac:dyDescent="0.3">
      <c r="A4" s="6" t="s">
        <v>37</v>
      </c>
      <c r="B4" s="6" t="s">
        <v>93</v>
      </c>
      <c r="C4" s="6" t="s">
        <v>1237</v>
      </c>
      <c r="D4" s="6" t="s">
        <v>1238</v>
      </c>
      <c r="E4" s="6" t="s">
        <v>97</v>
      </c>
      <c r="F4" s="6" t="s">
        <v>1239</v>
      </c>
    </row>
    <row r="5" spans="1:6" x14ac:dyDescent="0.3">
      <c r="A5" s="8" t="s">
        <v>47</v>
      </c>
      <c r="B5" s="9" t="s">
        <v>204</v>
      </c>
      <c r="C5" s="9" t="s">
        <v>213</v>
      </c>
      <c r="D5" s="12" t="s">
        <v>215</v>
      </c>
      <c r="E5" s="24" t="s">
        <v>22</v>
      </c>
      <c r="F5" s="25"/>
    </row>
    <row r="6" spans="1:6" ht="26.4" x14ac:dyDescent="0.3">
      <c r="A6" s="8" t="s">
        <v>47</v>
      </c>
      <c r="B6" s="9" t="s">
        <v>229</v>
      </c>
      <c r="C6" s="8" t="s">
        <v>234</v>
      </c>
      <c r="D6" s="12" t="s">
        <v>1240</v>
      </c>
      <c r="E6" s="36" t="s">
        <v>18</v>
      </c>
      <c r="F6" s="25" t="s">
        <v>1241</v>
      </c>
    </row>
    <row r="7" spans="1:6" x14ac:dyDescent="0.3">
      <c r="A7" s="8" t="s">
        <v>47</v>
      </c>
      <c r="B7" s="9" t="s">
        <v>237</v>
      </c>
      <c r="C7" s="9" t="s">
        <v>248</v>
      </c>
      <c r="D7" s="12" t="s">
        <v>250</v>
      </c>
      <c r="E7" s="24" t="s">
        <v>22</v>
      </c>
      <c r="F7" s="25"/>
    </row>
    <row r="8" spans="1:6" x14ac:dyDescent="0.3">
      <c r="A8" s="8" t="s">
        <v>47</v>
      </c>
      <c r="B8" s="9" t="s">
        <v>251</v>
      </c>
      <c r="C8" s="9" t="s">
        <v>255</v>
      </c>
      <c r="D8" s="12" t="s">
        <v>256</v>
      </c>
      <c r="E8" s="24" t="s">
        <v>22</v>
      </c>
      <c r="F8" s="25"/>
    </row>
    <row r="9" spans="1:6" x14ac:dyDescent="0.3">
      <c r="A9" s="8" t="s">
        <v>47</v>
      </c>
      <c r="B9" s="9" t="s">
        <v>251</v>
      </c>
      <c r="C9" s="9" t="s">
        <v>257</v>
      </c>
      <c r="D9" s="12" t="s">
        <v>256</v>
      </c>
      <c r="E9" s="24" t="s">
        <v>22</v>
      </c>
      <c r="F9" s="25"/>
    </row>
    <row r="10" spans="1:6" x14ac:dyDescent="0.3">
      <c r="A10" s="8" t="s">
        <v>47</v>
      </c>
      <c r="B10" s="9" t="s">
        <v>258</v>
      </c>
      <c r="C10" s="9" t="s">
        <v>194</v>
      </c>
      <c r="D10" s="12" t="s">
        <v>264</v>
      </c>
      <c r="E10" s="24" t="s">
        <v>22</v>
      </c>
      <c r="F10" s="25"/>
    </row>
    <row r="11" spans="1:6" x14ac:dyDescent="0.3">
      <c r="A11" s="8" t="s">
        <v>47</v>
      </c>
      <c r="B11" s="9" t="s">
        <v>265</v>
      </c>
      <c r="C11" s="9" t="s">
        <v>174</v>
      </c>
      <c r="D11" s="12" t="s">
        <v>269</v>
      </c>
      <c r="E11" s="24" t="s">
        <v>22</v>
      </c>
      <c r="F11" s="25"/>
    </row>
    <row r="12" spans="1:6" x14ac:dyDescent="0.3">
      <c r="A12" s="8" t="s">
        <v>47</v>
      </c>
      <c r="B12" s="9" t="s">
        <v>265</v>
      </c>
      <c r="C12" s="9" t="s">
        <v>171</v>
      </c>
      <c r="D12" s="12" t="s">
        <v>269</v>
      </c>
      <c r="E12" s="24" t="s">
        <v>22</v>
      </c>
      <c r="F12" s="25"/>
    </row>
    <row r="13" spans="1:6" x14ac:dyDescent="0.3">
      <c r="A13" s="8" t="s">
        <v>47</v>
      </c>
      <c r="B13" s="9" t="s">
        <v>270</v>
      </c>
      <c r="C13" s="9" t="s">
        <v>275</v>
      </c>
      <c r="D13" s="12" t="s">
        <v>276</v>
      </c>
      <c r="E13" s="24" t="s">
        <v>22</v>
      </c>
      <c r="F13" s="25"/>
    </row>
    <row r="14" spans="1:6" ht="26.4" x14ac:dyDescent="0.3">
      <c r="A14" s="8" t="s">
        <v>47</v>
      </c>
      <c r="B14" s="9" t="s">
        <v>305</v>
      </c>
      <c r="C14" s="9" t="s">
        <v>303</v>
      </c>
      <c r="D14" s="12" t="s">
        <v>308</v>
      </c>
      <c r="E14" s="26" t="s">
        <v>20</v>
      </c>
      <c r="F14" s="25"/>
    </row>
    <row r="15" spans="1:6" x14ac:dyDescent="0.3">
      <c r="A15" s="8" t="s">
        <v>53</v>
      </c>
      <c r="B15" s="9" t="s">
        <v>170</v>
      </c>
      <c r="C15" s="9" t="s">
        <v>174</v>
      </c>
      <c r="D15" s="12" t="s">
        <v>348</v>
      </c>
      <c r="E15" s="24" t="s">
        <v>22</v>
      </c>
      <c r="F15" s="25"/>
    </row>
    <row r="16" spans="1:6" x14ac:dyDescent="0.3">
      <c r="A16" s="8" t="s">
        <v>53</v>
      </c>
      <c r="B16" s="9" t="s">
        <v>229</v>
      </c>
      <c r="C16" s="9" t="s">
        <v>174</v>
      </c>
      <c r="D16" s="12" t="s">
        <v>369</v>
      </c>
      <c r="E16" s="26" t="s">
        <v>20</v>
      </c>
      <c r="F16" s="25"/>
    </row>
    <row r="17" spans="1:6" x14ac:dyDescent="0.3">
      <c r="A17" s="8" t="s">
        <v>53</v>
      </c>
      <c r="B17" s="9" t="s">
        <v>229</v>
      </c>
      <c r="C17" s="9" t="s">
        <v>202</v>
      </c>
      <c r="D17" s="12" t="s">
        <v>370</v>
      </c>
      <c r="E17" s="26" t="s">
        <v>20</v>
      </c>
      <c r="F17" s="25"/>
    </row>
    <row r="18" spans="1:6" x14ac:dyDescent="0.3">
      <c r="A18" s="8" t="s">
        <v>53</v>
      </c>
      <c r="B18" s="9" t="s">
        <v>229</v>
      </c>
      <c r="C18" s="9" t="s">
        <v>171</v>
      </c>
      <c r="D18" s="12" t="s">
        <v>372</v>
      </c>
      <c r="E18" s="26" t="s">
        <v>20</v>
      </c>
      <c r="F18" s="25"/>
    </row>
    <row r="19" spans="1:6" x14ac:dyDescent="0.3">
      <c r="A19" s="8" t="s">
        <v>53</v>
      </c>
      <c r="B19" s="9" t="s">
        <v>229</v>
      </c>
      <c r="C19" s="9" t="s">
        <v>97</v>
      </c>
      <c r="D19" s="12" t="s">
        <v>373</v>
      </c>
      <c r="E19" s="24" t="s">
        <v>22</v>
      </c>
      <c r="F19" s="25"/>
    </row>
    <row r="20" spans="1:6" x14ac:dyDescent="0.3">
      <c r="A20" s="8" t="s">
        <v>58</v>
      </c>
      <c r="B20" s="9" t="s">
        <v>392</v>
      </c>
      <c r="C20" s="9" t="s">
        <v>396</v>
      </c>
      <c r="D20" s="12" t="s">
        <v>397</v>
      </c>
      <c r="E20" s="26" t="s">
        <v>20</v>
      </c>
      <c r="F20" s="25"/>
    </row>
    <row r="21" spans="1:6" x14ac:dyDescent="0.3">
      <c r="A21" s="8" t="s">
        <v>58</v>
      </c>
      <c r="B21" s="9" t="s">
        <v>392</v>
      </c>
      <c r="C21" s="9" t="s">
        <v>426</v>
      </c>
      <c r="D21" s="12" t="s">
        <v>397</v>
      </c>
      <c r="E21" s="26" t="s">
        <v>20</v>
      </c>
      <c r="F21" s="25"/>
    </row>
    <row r="22" spans="1:6" x14ac:dyDescent="0.3">
      <c r="A22" s="8" t="s">
        <v>58</v>
      </c>
      <c r="B22" s="9" t="s">
        <v>400</v>
      </c>
      <c r="C22" s="9" t="s">
        <v>174</v>
      </c>
      <c r="D22" s="12" t="s">
        <v>176</v>
      </c>
      <c r="E22" s="26" t="s">
        <v>20</v>
      </c>
      <c r="F22" s="25"/>
    </row>
    <row r="23" spans="1:6" x14ac:dyDescent="0.3">
      <c r="A23" s="8" t="s">
        <v>58</v>
      </c>
      <c r="B23" s="9" t="s">
        <v>400</v>
      </c>
      <c r="C23" s="9" t="s">
        <v>171</v>
      </c>
      <c r="D23" s="12" t="s">
        <v>405</v>
      </c>
      <c r="E23" s="26" t="s">
        <v>20</v>
      </c>
      <c r="F23" s="25"/>
    </row>
    <row r="24" spans="1:6" x14ac:dyDescent="0.3">
      <c r="A24" s="8" t="s">
        <v>58</v>
      </c>
      <c r="B24" s="9" t="s">
        <v>400</v>
      </c>
      <c r="C24" s="9" t="s">
        <v>534</v>
      </c>
      <c r="D24" s="12" t="s">
        <v>405</v>
      </c>
      <c r="E24" s="26" t="s">
        <v>20</v>
      </c>
      <c r="F24" s="25"/>
    </row>
    <row r="25" spans="1:6" x14ac:dyDescent="0.3">
      <c r="A25" s="8" t="s">
        <v>58</v>
      </c>
      <c r="B25" s="9" t="s">
        <v>407</v>
      </c>
      <c r="C25" s="9" t="s">
        <v>408</v>
      </c>
      <c r="D25" s="12" t="s">
        <v>409</v>
      </c>
      <c r="E25" s="26" t="s">
        <v>20</v>
      </c>
      <c r="F25" s="25"/>
    </row>
    <row r="26" spans="1:6" x14ac:dyDescent="0.3">
      <c r="A26" s="8" t="s">
        <v>58</v>
      </c>
      <c r="B26" s="9" t="s">
        <v>407</v>
      </c>
      <c r="C26" s="9" t="s">
        <v>426</v>
      </c>
      <c r="D26" s="12" t="s">
        <v>176</v>
      </c>
      <c r="E26" s="26" t="s">
        <v>20</v>
      </c>
      <c r="F26" s="25"/>
    </row>
    <row r="27" spans="1:6" x14ac:dyDescent="0.3">
      <c r="A27" s="8" t="s">
        <v>58</v>
      </c>
      <c r="B27" s="9" t="s">
        <v>407</v>
      </c>
      <c r="C27" s="9" t="s">
        <v>412</v>
      </c>
      <c r="D27" s="12" t="s">
        <v>413</v>
      </c>
      <c r="E27" s="26" t="s">
        <v>20</v>
      </c>
      <c r="F27" s="25"/>
    </row>
    <row r="28" spans="1:6" ht="52.8" x14ac:dyDescent="0.3">
      <c r="A28" s="8" t="s">
        <v>58</v>
      </c>
      <c r="B28" s="9" t="s">
        <v>407</v>
      </c>
      <c r="C28" s="9" t="s">
        <v>174</v>
      </c>
      <c r="D28" s="12" t="s">
        <v>1242</v>
      </c>
      <c r="E28" s="26" t="s">
        <v>20</v>
      </c>
      <c r="F28" s="25"/>
    </row>
    <row r="29" spans="1:6" x14ac:dyDescent="0.3">
      <c r="A29" s="8" t="s">
        <v>58</v>
      </c>
      <c r="B29" s="9" t="s">
        <v>407</v>
      </c>
      <c r="C29" s="9" t="s">
        <v>416</v>
      </c>
      <c r="D29" s="12" t="s">
        <v>1243</v>
      </c>
      <c r="E29" s="26" t="s">
        <v>20</v>
      </c>
      <c r="F29" s="25"/>
    </row>
    <row r="30" spans="1:6" x14ac:dyDescent="0.3">
      <c r="A30" s="8" t="s">
        <v>58</v>
      </c>
      <c r="B30" s="9" t="s">
        <v>407</v>
      </c>
      <c r="C30" s="9" t="s">
        <v>418</v>
      </c>
      <c r="D30" s="12" t="s">
        <v>419</v>
      </c>
      <c r="E30" s="26" t="s">
        <v>20</v>
      </c>
      <c r="F30" s="25"/>
    </row>
    <row r="31" spans="1:6" x14ac:dyDescent="0.3">
      <c r="A31" s="8" t="s">
        <v>58</v>
      </c>
      <c r="B31" s="9" t="s">
        <v>420</v>
      </c>
      <c r="C31" s="9" t="s">
        <v>408</v>
      </c>
      <c r="D31" s="12" t="s">
        <v>419</v>
      </c>
      <c r="E31" s="26" t="s">
        <v>20</v>
      </c>
      <c r="F31" s="25"/>
    </row>
    <row r="32" spans="1:6" x14ac:dyDescent="0.3">
      <c r="A32" s="8" t="s">
        <v>58</v>
      </c>
      <c r="B32" s="9" t="s">
        <v>420</v>
      </c>
      <c r="C32" s="9" t="s">
        <v>423</v>
      </c>
      <c r="D32" s="12" t="s">
        <v>419</v>
      </c>
      <c r="E32" s="26" t="s">
        <v>20</v>
      </c>
      <c r="F32" s="25"/>
    </row>
    <row r="33" spans="1:6" x14ac:dyDescent="0.3">
      <c r="A33" s="8" t="s">
        <v>58</v>
      </c>
      <c r="B33" s="9" t="s">
        <v>428</v>
      </c>
      <c r="C33" s="9" t="s">
        <v>97</v>
      </c>
      <c r="D33" s="12" t="s">
        <v>429</v>
      </c>
      <c r="E33" s="26" t="s">
        <v>20</v>
      </c>
      <c r="F33" s="25"/>
    </row>
    <row r="34" spans="1:6" x14ac:dyDescent="0.3">
      <c r="A34" s="8" t="s">
        <v>58</v>
      </c>
      <c r="B34" s="9" t="s">
        <v>430</v>
      </c>
      <c r="C34" s="9" t="s">
        <v>431</v>
      </c>
      <c r="D34" s="12" t="s">
        <v>433</v>
      </c>
      <c r="E34" s="26" t="s">
        <v>20</v>
      </c>
      <c r="F34" s="25"/>
    </row>
    <row r="35" spans="1:6" x14ac:dyDescent="0.3">
      <c r="A35" s="8" t="s">
        <v>58</v>
      </c>
      <c r="B35" s="9" t="s">
        <v>430</v>
      </c>
      <c r="C35" s="9" t="s">
        <v>426</v>
      </c>
      <c r="D35" s="12" t="s">
        <v>176</v>
      </c>
      <c r="E35" s="26" t="s">
        <v>20</v>
      </c>
      <c r="F35" s="25"/>
    </row>
    <row r="36" spans="1:6" x14ac:dyDescent="0.3">
      <c r="A36" s="8" t="s">
        <v>58</v>
      </c>
      <c r="B36" s="9" t="s">
        <v>430</v>
      </c>
      <c r="C36" s="9" t="s">
        <v>435</v>
      </c>
      <c r="D36" s="12" t="s">
        <v>434</v>
      </c>
      <c r="E36" s="26" t="s">
        <v>20</v>
      </c>
      <c r="F36" s="25"/>
    </row>
    <row r="37" spans="1:6" x14ac:dyDescent="0.3">
      <c r="A37" s="8" t="s">
        <v>58</v>
      </c>
      <c r="B37" s="9" t="s">
        <v>430</v>
      </c>
      <c r="C37" s="9" t="s">
        <v>97</v>
      </c>
      <c r="D37" s="12" t="s">
        <v>434</v>
      </c>
      <c r="E37" s="26" t="s">
        <v>20</v>
      </c>
      <c r="F37" s="25"/>
    </row>
    <row r="38" spans="1:6" x14ac:dyDescent="0.3">
      <c r="A38" s="8" t="s">
        <v>58</v>
      </c>
      <c r="B38" s="9" t="s">
        <v>444</v>
      </c>
      <c r="C38" s="9" t="s">
        <v>445</v>
      </c>
      <c r="D38" s="12" t="s">
        <v>447</v>
      </c>
      <c r="E38" s="26" t="s">
        <v>20</v>
      </c>
      <c r="F38" s="25"/>
    </row>
    <row r="39" spans="1:6" x14ac:dyDescent="0.3">
      <c r="A39" s="8" t="s">
        <v>58</v>
      </c>
      <c r="B39" s="9" t="s">
        <v>448</v>
      </c>
      <c r="C39" s="9" t="s">
        <v>426</v>
      </c>
      <c r="D39" s="12" t="s">
        <v>449</v>
      </c>
      <c r="E39" s="26" t="s">
        <v>20</v>
      </c>
      <c r="F39" s="25"/>
    </row>
    <row r="40" spans="1:6" x14ac:dyDescent="0.3">
      <c r="A40" s="8" t="s">
        <v>58</v>
      </c>
      <c r="B40" s="9" t="s">
        <v>448</v>
      </c>
      <c r="C40" s="9" t="s">
        <v>97</v>
      </c>
      <c r="D40" s="12" t="s">
        <v>452</v>
      </c>
      <c r="E40" s="26" t="s">
        <v>20</v>
      </c>
      <c r="F40" s="25"/>
    </row>
    <row r="41" spans="1:6" x14ac:dyDescent="0.3">
      <c r="A41" s="8" t="s">
        <v>67</v>
      </c>
      <c r="B41" s="9" t="s">
        <v>463</v>
      </c>
      <c r="C41" s="9" t="s">
        <v>97</v>
      </c>
      <c r="D41" s="12" t="s">
        <v>577</v>
      </c>
      <c r="E41" s="26" t="s">
        <v>20</v>
      </c>
      <c r="F41" s="25"/>
    </row>
    <row r="42" spans="1:6" x14ac:dyDescent="0.3">
      <c r="A42" s="8" t="s">
        <v>67</v>
      </c>
      <c r="B42" s="9" t="s">
        <v>463</v>
      </c>
      <c r="C42" s="9" t="s">
        <v>435</v>
      </c>
      <c r="D42" s="12" t="s">
        <v>579</v>
      </c>
      <c r="E42" s="26" t="s">
        <v>20</v>
      </c>
      <c r="F42" s="25"/>
    </row>
    <row r="43" spans="1:6" x14ac:dyDescent="0.3">
      <c r="A43" s="8" t="s">
        <v>67</v>
      </c>
      <c r="B43" s="9" t="s">
        <v>463</v>
      </c>
      <c r="C43" s="9" t="s">
        <v>220</v>
      </c>
      <c r="D43" s="12" t="s">
        <v>581</v>
      </c>
      <c r="E43" s="26" t="s">
        <v>20</v>
      </c>
      <c r="F43" s="25"/>
    </row>
    <row r="44" spans="1:6" x14ac:dyDescent="0.3">
      <c r="A44" s="8" t="s">
        <v>67</v>
      </c>
      <c r="B44" s="9" t="s">
        <v>424</v>
      </c>
      <c r="C44" s="9" t="s">
        <v>97</v>
      </c>
      <c r="D44" s="12" t="s">
        <v>584</v>
      </c>
      <c r="E44" s="26" t="s">
        <v>20</v>
      </c>
      <c r="F44" s="25"/>
    </row>
    <row r="45" spans="1:6" x14ac:dyDescent="0.3">
      <c r="A45" s="8" t="s">
        <v>67</v>
      </c>
      <c r="B45" s="9" t="s">
        <v>424</v>
      </c>
      <c r="C45" s="9" t="s">
        <v>396</v>
      </c>
      <c r="D45" s="12" t="s">
        <v>580</v>
      </c>
      <c r="E45" s="26" t="s">
        <v>20</v>
      </c>
      <c r="F45" s="25"/>
    </row>
    <row r="46" spans="1:6" x14ac:dyDescent="0.3">
      <c r="A46" s="8" t="s">
        <v>67</v>
      </c>
      <c r="B46" s="9" t="s">
        <v>424</v>
      </c>
      <c r="C46" s="9" t="s">
        <v>586</v>
      </c>
      <c r="D46" s="12" t="s">
        <v>588</v>
      </c>
      <c r="E46" s="26" t="s">
        <v>20</v>
      </c>
      <c r="F46" s="25"/>
    </row>
    <row r="47" spans="1:6" x14ac:dyDescent="0.3">
      <c r="A47" s="8" t="s">
        <v>67</v>
      </c>
      <c r="B47" s="9" t="s">
        <v>392</v>
      </c>
      <c r="C47" s="9" t="s">
        <v>426</v>
      </c>
      <c r="D47" s="12" t="s">
        <v>580</v>
      </c>
      <c r="E47" s="26" t="s">
        <v>20</v>
      </c>
      <c r="F47" s="25"/>
    </row>
    <row r="48" spans="1:6" x14ac:dyDescent="0.3">
      <c r="A48" s="8" t="s">
        <v>67</v>
      </c>
      <c r="B48" s="9" t="s">
        <v>483</v>
      </c>
      <c r="C48" s="9" t="s">
        <v>426</v>
      </c>
      <c r="D48" s="12" t="s">
        <v>580</v>
      </c>
      <c r="E48" s="26" t="s">
        <v>20</v>
      </c>
      <c r="F48" s="25"/>
    </row>
    <row r="49" spans="1:6" x14ac:dyDescent="0.3">
      <c r="A49" s="8" t="s">
        <v>67</v>
      </c>
      <c r="B49" s="9" t="s">
        <v>489</v>
      </c>
      <c r="C49" s="9" t="s">
        <v>97</v>
      </c>
      <c r="D49" s="12" t="s">
        <v>201</v>
      </c>
      <c r="E49" s="26" t="s">
        <v>20</v>
      </c>
      <c r="F49" s="25"/>
    </row>
    <row r="50" spans="1:6" x14ac:dyDescent="0.3">
      <c r="A50" s="8" t="s">
        <v>67</v>
      </c>
      <c r="B50" s="9" t="s">
        <v>502</v>
      </c>
      <c r="C50" s="9" t="s">
        <v>426</v>
      </c>
      <c r="D50" s="12" t="s">
        <v>580</v>
      </c>
      <c r="E50" s="26" t="s">
        <v>20</v>
      </c>
      <c r="F50" s="25"/>
    </row>
    <row r="51" spans="1:6" x14ac:dyDescent="0.3">
      <c r="A51" s="8" t="s">
        <v>67</v>
      </c>
      <c r="B51" s="9" t="s">
        <v>400</v>
      </c>
      <c r="C51" s="9" t="s">
        <v>171</v>
      </c>
      <c r="D51" s="12" t="s">
        <v>600</v>
      </c>
      <c r="E51" s="26" t="s">
        <v>20</v>
      </c>
      <c r="F51" s="25"/>
    </row>
    <row r="52" spans="1:6" ht="39.6" x14ac:dyDescent="0.3">
      <c r="A52" s="8" t="s">
        <v>67</v>
      </c>
      <c r="B52" s="9" t="s">
        <v>400</v>
      </c>
      <c r="C52" s="9" t="s">
        <v>220</v>
      </c>
      <c r="D52" s="12" t="s">
        <v>602</v>
      </c>
      <c r="E52" s="26" t="s">
        <v>20</v>
      </c>
      <c r="F52" s="25"/>
    </row>
    <row r="53" spans="1:6" x14ac:dyDescent="0.3">
      <c r="A53" s="8" t="s">
        <v>67</v>
      </c>
      <c r="B53" s="9" t="s">
        <v>400</v>
      </c>
      <c r="C53" s="9" t="s">
        <v>393</v>
      </c>
      <c r="D53" s="12" t="s">
        <v>603</v>
      </c>
      <c r="E53" s="26" t="s">
        <v>20</v>
      </c>
      <c r="F53" s="25"/>
    </row>
    <row r="54" spans="1:6" x14ac:dyDescent="0.3">
      <c r="A54" s="8" t="s">
        <v>67</v>
      </c>
      <c r="B54" s="9" t="s">
        <v>400</v>
      </c>
      <c r="C54" s="9" t="s">
        <v>426</v>
      </c>
      <c r="D54" s="12" t="s">
        <v>580</v>
      </c>
      <c r="E54" s="26" t="s">
        <v>20</v>
      </c>
      <c r="F54" s="25"/>
    </row>
    <row r="55" spans="1:6" x14ac:dyDescent="0.3">
      <c r="A55" s="8" t="s">
        <v>71</v>
      </c>
      <c r="B55" s="9" t="s">
        <v>604</v>
      </c>
      <c r="C55" s="9" t="s">
        <v>196</v>
      </c>
      <c r="D55" s="12" t="s">
        <v>607</v>
      </c>
      <c r="E55" s="26" t="s">
        <v>20</v>
      </c>
      <c r="F55" s="25"/>
    </row>
    <row r="56" spans="1:6" ht="26.4" x14ac:dyDescent="0.3">
      <c r="A56" s="8" t="s">
        <v>71</v>
      </c>
      <c r="B56" s="9" t="s">
        <v>604</v>
      </c>
      <c r="C56" s="9" t="s">
        <v>38</v>
      </c>
      <c r="D56" s="12" t="s">
        <v>613</v>
      </c>
      <c r="E56" s="26" t="s">
        <v>20</v>
      </c>
      <c r="F56" s="25"/>
    </row>
    <row r="57" spans="1:6" x14ac:dyDescent="0.3">
      <c r="A57" s="8" t="s">
        <v>71</v>
      </c>
      <c r="B57" s="9" t="s">
        <v>604</v>
      </c>
      <c r="C57" s="9" t="s">
        <v>97</v>
      </c>
      <c r="D57" s="12" t="s">
        <v>615</v>
      </c>
      <c r="E57" s="26" t="s">
        <v>20</v>
      </c>
      <c r="F57" s="25"/>
    </row>
    <row r="58" spans="1:6" x14ac:dyDescent="0.3">
      <c r="A58" s="8" t="s">
        <v>71</v>
      </c>
      <c r="B58" s="9" t="s">
        <v>538</v>
      </c>
      <c r="C58" s="9" t="s">
        <v>97</v>
      </c>
      <c r="D58" s="12" t="s">
        <v>1244</v>
      </c>
      <c r="E58" s="26" t="s">
        <v>20</v>
      </c>
      <c r="F58" s="25"/>
    </row>
    <row r="59" spans="1:6" x14ac:dyDescent="0.3">
      <c r="A59" s="8" t="s">
        <v>71</v>
      </c>
      <c r="B59" s="9" t="s">
        <v>538</v>
      </c>
      <c r="C59" s="9" t="s">
        <v>1245</v>
      </c>
      <c r="D59" s="12" t="s">
        <v>1246</v>
      </c>
      <c r="E59" s="26" t="s">
        <v>20</v>
      </c>
      <c r="F59" s="25"/>
    </row>
    <row r="60" spans="1:6" x14ac:dyDescent="0.3">
      <c r="A60" s="8" t="s">
        <v>71</v>
      </c>
      <c r="B60" s="9" t="s">
        <v>538</v>
      </c>
      <c r="C60" s="9" t="s">
        <v>196</v>
      </c>
      <c r="D60" s="12" t="s">
        <v>637</v>
      </c>
      <c r="E60" s="26" t="s">
        <v>20</v>
      </c>
      <c r="F60" s="25"/>
    </row>
    <row r="61" spans="1:6" ht="26.4" x14ac:dyDescent="0.3">
      <c r="A61" s="8" t="s">
        <v>71</v>
      </c>
      <c r="B61" s="9" t="s">
        <v>538</v>
      </c>
      <c r="C61" s="9" t="s">
        <v>639</v>
      </c>
      <c r="D61" s="12" t="s">
        <v>1247</v>
      </c>
      <c r="E61" s="26" t="s">
        <v>20</v>
      </c>
      <c r="F61" s="25"/>
    </row>
    <row r="62" spans="1:6" x14ac:dyDescent="0.3">
      <c r="A62" s="8" t="s">
        <v>71</v>
      </c>
      <c r="B62" s="9" t="s">
        <v>538</v>
      </c>
      <c r="C62" s="9" t="s">
        <v>642</v>
      </c>
      <c r="D62" s="12" t="s">
        <v>1248</v>
      </c>
      <c r="E62" s="26" t="s">
        <v>20</v>
      </c>
      <c r="F62" s="25"/>
    </row>
    <row r="63" spans="1:6" ht="26.4" x14ac:dyDescent="0.3">
      <c r="A63" s="8" t="s">
        <v>80</v>
      </c>
      <c r="B63" s="9" t="s">
        <v>538</v>
      </c>
      <c r="C63" s="9" t="s">
        <v>630</v>
      </c>
      <c r="D63" s="12" t="s">
        <v>1249</v>
      </c>
      <c r="E63" s="26" t="s">
        <v>20</v>
      </c>
      <c r="F63" s="25"/>
    </row>
    <row r="64" spans="1:6" x14ac:dyDescent="0.3">
      <c r="A64" s="8" t="s">
        <v>80</v>
      </c>
      <c r="B64" s="9" t="s">
        <v>98</v>
      </c>
      <c r="C64" s="9" t="s">
        <v>1245</v>
      </c>
      <c r="D64" s="12" t="s">
        <v>1250</v>
      </c>
      <c r="E64" s="26" t="s">
        <v>20</v>
      </c>
      <c r="F64" s="25"/>
    </row>
    <row r="65" spans="1:6" x14ac:dyDescent="0.3">
      <c r="A65" s="8" t="s">
        <v>80</v>
      </c>
      <c r="B65" s="9" t="s">
        <v>98</v>
      </c>
      <c r="C65" s="9" t="s">
        <v>1251</v>
      </c>
      <c r="D65" s="12" t="s">
        <v>683</v>
      </c>
      <c r="E65" s="26" t="s">
        <v>20</v>
      </c>
      <c r="F65" s="25"/>
    </row>
    <row r="66" spans="1:6" x14ac:dyDescent="0.3">
      <c r="A66" s="8" t="s">
        <v>80</v>
      </c>
      <c r="B66" s="9" t="s">
        <v>685</v>
      </c>
      <c r="C66" s="9" t="s">
        <v>686</v>
      </c>
      <c r="D66" s="12" t="s">
        <v>676</v>
      </c>
      <c r="E66" s="26" t="s">
        <v>20</v>
      </c>
      <c r="F66" s="25"/>
    </row>
    <row r="67" spans="1:6" x14ac:dyDescent="0.3">
      <c r="A67" s="8" t="s">
        <v>80</v>
      </c>
      <c r="B67" s="9" t="s">
        <v>685</v>
      </c>
      <c r="C67" s="9" t="s">
        <v>688</v>
      </c>
      <c r="D67" s="12" t="s">
        <v>689</v>
      </c>
      <c r="E67" s="26" t="s">
        <v>20</v>
      </c>
      <c r="F67" s="25"/>
    </row>
    <row r="68" spans="1:6" x14ac:dyDescent="0.3">
      <c r="A68" s="8" t="s">
        <v>80</v>
      </c>
      <c r="B68" s="9" t="s">
        <v>685</v>
      </c>
      <c r="C68" s="9" t="s">
        <v>171</v>
      </c>
      <c r="D68" s="12" t="s">
        <v>690</v>
      </c>
      <c r="E68" s="26" t="s">
        <v>20</v>
      </c>
      <c r="F68" s="25"/>
    </row>
    <row r="69" spans="1:6" x14ac:dyDescent="0.3">
      <c r="A69" s="8" t="s">
        <v>80</v>
      </c>
      <c r="B69" s="9" t="s">
        <v>685</v>
      </c>
      <c r="C69" s="9" t="s">
        <v>194</v>
      </c>
      <c r="D69" s="12" t="s">
        <v>691</v>
      </c>
      <c r="E69" s="26" t="s">
        <v>20</v>
      </c>
      <c r="F69" s="25"/>
    </row>
    <row r="70" spans="1:6" x14ac:dyDescent="0.3">
      <c r="A70" s="8" t="s">
        <v>80</v>
      </c>
      <c r="B70" s="9" t="s">
        <v>692</v>
      </c>
      <c r="C70" s="9" t="s">
        <v>693</v>
      </c>
      <c r="D70" s="12" t="s">
        <v>694</v>
      </c>
      <c r="E70" s="26" t="s">
        <v>20</v>
      </c>
      <c r="F70" s="25"/>
    </row>
    <row r="71" spans="1:6" x14ac:dyDescent="0.3">
      <c r="A71" s="8" t="s">
        <v>80</v>
      </c>
      <c r="B71" s="9" t="s">
        <v>692</v>
      </c>
      <c r="C71" s="9" t="s">
        <v>196</v>
      </c>
      <c r="D71" s="12" t="s">
        <v>695</v>
      </c>
      <c r="E71" s="26" t="s">
        <v>20</v>
      </c>
      <c r="F71" s="25"/>
    </row>
    <row r="72" spans="1:6" x14ac:dyDescent="0.3">
      <c r="A72" s="8" t="s">
        <v>80</v>
      </c>
      <c r="B72" s="9" t="s">
        <v>692</v>
      </c>
      <c r="C72" s="9" t="s">
        <v>696</v>
      </c>
      <c r="D72" s="12" t="s">
        <v>697</v>
      </c>
      <c r="E72" s="26" t="s">
        <v>20</v>
      </c>
      <c r="F72" s="25"/>
    </row>
    <row r="73" spans="1:6" x14ac:dyDescent="0.3">
      <c r="A73" s="8" t="s">
        <v>80</v>
      </c>
      <c r="B73" s="9" t="s">
        <v>692</v>
      </c>
      <c r="C73" s="9" t="s">
        <v>698</v>
      </c>
      <c r="D73" s="12" t="s">
        <v>166</v>
      </c>
      <c r="E73" s="26" t="s">
        <v>20</v>
      </c>
      <c r="F73" s="25"/>
    </row>
    <row r="74" spans="1:6" x14ac:dyDescent="0.3">
      <c r="A74" s="8" t="s">
        <v>80</v>
      </c>
      <c r="B74" s="9" t="s">
        <v>692</v>
      </c>
      <c r="C74" s="9" t="s">
        <v>275</v>
      </c>
      <c r="D74" s="12" t="s">
        <v>701</v>
      </c>
      <c r="E74" s="26" t="s">
        <v>20</v>
      </c>
      <c r="F74" s="25"/>
    </row>
    <row r="75" spans="1:6" x14ac:dyDescent="0.3">
      <c r="A75" s="8" t="s">
        <v>80</v>
      </c>
      <c r="B75" s="9" t="s">
        <v>692</v>
      </c>
      <c r="C75" s="9" t="s">
        <v>702</v>
      </c>
      <c r="D75" s="12" t="s">
        <v>701</v>
      </c>
      <c r="E75" s="26" t="s">
        <v>20</v>
      </c>
      <c r="F75" s="25"/>
    </row>
    <row r="76" spans="1:6" x14ac:dyDescent="0.3">
      <c r="A76" s="8" t="s">
        <v>80</v>
      </c>
      <c r="B76" s="9" t="s">
        <v>103</v>
      </c>
      <c r="C76" s="9" t="s">
        <v>704</v>
      </c>
      <c r="D76" s="12" t="s">
        <v>705</v>
      </c>
      <c r="E76" s="26" t="s">
        <v>20</v>
      </c>
      <c r="F76" s="25"/>
    </row>
    <row r="77" spans="1:6" x14ac:dyDescent="0.3">
      <c r="A77" s="8" t="s">
        <v>80</v>
      </c>
      <c r="B77" s="9" t="s">
        <v>103</v>
      </c>
      <c r="C77" s="9" t="s">
        <v>608</v>
      </c>
      <c r="D77" s="12" t="s">
        <v>707</v>
      </c>
      <c r="E77" s="26" t="s">
        <v>20</v>
      </c>
      <c r="F77" s="25"/>
    </row>
    <row r="78" spans="1:6" x14ac:dyDescent="0.3">
      <c r="A78" s="8" t="s">
        <v>80</v>
      </c>
      <c r="B78" s="9" t="s">
        <v>103</v>
      </c>
      <c r="C78" s="9" t="s">
        <v>97</v>
      </c>
      <c r="D78" s="12" t="s">
        <v>708</v>
      </c>
      <c r="E78" s="26" t="s">
        <v>20</v>
      </c>
      <c r="F78" s="25"/>
    </row>
    <row r="79" spans="1:6" x14ac:dyDescent="0.3">
      <c r="A79" s="8" t="s">
        <v>80</v>
      </c>
      <c r="B79" s="9" t="s">
        <v>645</v>
      </c>
      <c r="C79" s="9" t="s">
        <v>711</v>
      </c>
      <c r="D79" s="12" t="s">
        <v>712</v>
      </c>
      <c r="E79" s="26" t="s">
        <v>20</v>
      </c>
      <c r="F79" s="25"/>
    </row>
    <row r="80" spans="1:6" x14ac:dyDescent="0.3">
      <c r="A80" s="8" t="s">
        <v>83</v>
      </c>
      <c r="B80" s="9" t="s">
        <v>685</v>
      </c>
      <c r="C80" s="9" t="s">
        <v>171</v>
      </c>
      <c r="D80" s="12" t="s">
        <v>721</v>
      </c>
      <c r="E80" s="26" t="s">
        <v>20</v>
      </c>
      <c r="F80" s="25"/>
    </row>
    <row r="81" spans="1:6" x14ac:dyDescent="0.3">
      <c r="A81" s="8" t="s">
        <v>83</v>
      </c>
      <c r="B81" s="9" t="s">
        <v>685</v>
      </c>
      <c r="C81" s="9" t="s">
        <v>688</v>
      </c>
      <c r="D81" s="12" t="s">
        <v>722</v>
      </c>
      <c r="E81" s="26" t="s">
        <v>20</v>
      </c>
      <c r="F81" s="25"/>
    </row>
    <row r="82" spans="1:6" x14ac:dyDescent="0.3">
      <c r="A82" s="8" t="s">
        <v>83</v>
      </c>
      <c r="B82" s="9" t="s">
        <v>685</v>
      </c>
      <c r="C82" s="9" t="s">
        <v>686</v>
      </c>
      <c r="D82" s="12" t="s">
        <v>176</v>
      </c>
      <c r="E82" s="26" t="s">
        <v>20</v>
      </c>
      <c r="F82" s="25"/>
    </row>
    <row r="83" spans="1:6" x14ac:dyDescent="0.3">
      <c r="A83" s="8" t="s">
        <v>83</v>
      </c>
      <c r="B83" s="9" t="s">
        <v>538</v>
      </c>
      <c r="C83" s="9" t="s">
        <v>630</v>
      </c>
      <c r="D83" s="12" t="s">
        <v>723</v>
      </c>
      <c r="E83" s="26" t="s">
        <v>20</v>
      </c>
      <c r="F83" s="25"/>
    </row>
    <row r="84" spans="1:6" x14ac:dyDescent="0.3">
      <c r="A84" s="8" t="s">
        <v>83</v>
      </c>
      <c r="B84" s="9" t="s">
        <v>98</v>
      </c>
      <c r="C84" s="9" t="s">
        <v>1245</v>
      </c>
      <c r="D84" s="12" t="s">
        <v>176</v>
      </c>
      <c r="E84" s="26" t="s">
        <v>20</v>
      </c>
      <c r="F84" s="25"/>
    </row>
    <row r="85" spans="1:6" x14ac:dyDescent="0.3">
      <c r="A85" s="8" t="s">
        <v>83</v>
      </c>
      <c r="B85" s="9" t="s">
        <v>98</v>
      </c>
      <c r="C85" s="9" t="s">
        <v>1251</v>
      </c>
      <c r="D85" s="12" t="s">
        <v>725</v>
      </c>
      <c r="E85" s="26" t="s">
        <v>20</v>
      </c>
      <c r="F85" s="25"/>
    </row>
    <row r="86" spans="1:6" x14ac:dyDescent="0.3">
      <c r="A86" s="8" t="s">
        <v>83</v>
      </c>
      <c r="B86" s="9" t="s">
        <v>692</v>
      </c>
      <c r="C86" s="9" t="s">
        <v>196</v>
      </c>
      <c r="D86" s="12" t="s">
        <v>727</v>
      </c>
      <c r="E86" s="26" t="s">
        <v>20</v>
      </c>
      <c r="F86" s="25"/>
    </row>
    <row r="87" spans="1:6" x14ac:dyDescent="0.3">
      <c r="A87" s="8" t="s">
        <v>83</v>
      </c>
      <c r="B87" s="9" t="s">
        <v>692</v>
      </c>
      <c r="C87" s="9" t="s">
        <v>696</v>
      </c>
      <c r="D87" s="12" t="s">
        <v>728</v>
      </c>
      <c r="E87" s="26" t="s">
        <v>20</v>
      </c>
      <c r="F87" s="25"/>
    </row>
    <row r="88" spans="1:6" x14ac:dyDescent="0.3">
      <c r="A88" s="8" t="s">
        <v>83</v>
      </c>
      <c r="B88" s="9" t="s">
        <v>692</v>
      </c>
      <c r="C88" s="9" t="s">
        <v>698</v>
      </c>
      <c r="D88" s="12" t="s">
        <v>166</v>
      </c>
      <c r="E88" s="26" t="s">
        <v>20</v>
      </c>
      <c r="F88" s="25"/>
    </row>
    <row r="89" spans="1:6" x14ac:dyDescent="0.3">
      <c r="A89" s="8" t="s">
        <v>83</v>
      </c>
      <c r="B89" s="9" t="s">
        <v>110</v>
      </c>
      <c r="C89" s="9" t="s">
        <v>171</v>
      </c>
      <c r="D89" s="12" t="s">
        <v>730</v>
      </c>
      <c r="E89" s="26" t="s">
        <v>20</v>
      </c>
      <c r="F89" s="25"/>
    </row>
    <row r="90" spans="1:6" x14ac:dyDescent="0.3">
      <c r="A90" s="8" t="s">
        <v>83</v>
      </c>
      <c r="B90" s="9" t="s">
        <v>110</v>
      </c>
      <c r="C90" s="9" t="s">
        <v>698</v>
      </c>
      <c r="D90" s="12" t="s">
        <v>166</v>
      </c>
      <c r="E90" s="26" t="s">
        <v>20</v>
      </c>
      <c r="F90" s="25"/>
    </row>
    <row r="91" spans="1:6" x14ac:dyDescent="0.3">
      <c r="A91" s="8" t="s">
        <v>83</v>
      </c>
      <c r="B91" s="9" t="s">
        <v>110</v>
      </c>
      <c r="C91" s="9" t="s">
        <v>733</v>
      </c>
      <c r="D91" s="12" t="s">
        <v>201</v>
      </c>
      <c r="E91" s="26" t="s">
        <v>20</v>
      </c>
      <c r="F91" s="25"/>
    </row>
    <row r="92" spans="1:6" x14ac:dyDescent="0.3">
      <c r="A92" s="8" t="s">
        <v>83</v>
      </c>
      <c r="B92" s="9" t="s">
        <v>114</v>
      </c>
      <c r="C92" s="9" t="s">
        <v>97</v>
      </c>
      <c r="D92" s="12" t="s">
        <v>1252</v>
      </c>
      <c r="E92" s="26" t="s">
        <v>20</v>
      </c>
      <c r="F92" s="25"/>
    </row>
    <row r="93" spans="1:6" x14ac:dyDescent="0.3">
      <c r="A93" s="8" t="s">
        <v>83</v>
      </c>
      <c r="B93" s="9" t="s">
        <v>114</v>
      </c>
      <c r="C93" s="9" t="s">
        <v>741</v>
      </c>
      <c r="D93" s="12" t="s">
        <v>740</v>
      </c>
      <c r="E93" s="26" t="s">
        <v>20</v>
      </c>
      <c r="F93" s="25"/>
    </row>
    <row r="94" spans="1:6" x14ac:dyDescent="0.3">
      <c r="A94" s="8" t="s">
        <v>83</v>
      </c>
      <c r="B94" s="9" t="s">
        <v>114</v>
      </c>
      <c r="C94" s="9" t="s">
        <v>608</v>
      </c>
      <c r="D94" s="12" t="s">
        <v>742</v>
      </c>
      <c r="E94" s="26" t="s">
        <v>20</v>
      </c>
      <c r="F94" s="25"/>
    </row>
    <row r="95" spans="1:6" ht="26.4" x14ac:dyDescent="0.3">
      <c r="A95" s="8" t="s">
        <v>86</v>
      </c>
      <c r="B95" s="9" t="s">
        <v>118</v>
      </c>
      <c r="C95" s="9" t="s">
        <v>171</v>
      </c>
      <c r="D95" s="12" t="s">
        <v>1253</v>
      </c>
      <c r="E95" s="26" t="s">
        <v>20</v>
      </c>
      <c r="F95" s="25"/>
    </row>
    <row r="96" spans="1:6" x14ac:dyDescent="0.3">
      <c r="A96" s="8" t="s">
        <v>86</v>
      </c>
      <c r="B96" s="9" t="s">
        <v>118</v>
      </c>
      <c r="C96" s="9" t="s">
        <v>97</v>
      </c>
      <c r="D96" s="12" t="s">
        <v>745</v>
      </c>
      <c r="E96" s="26" t="s">
        <v>20</v>
      </c>
      <c r="F96" s="25"/>
    </row>
    <row r="97" spans="1:6" x14ac:dyDescent="0.3">
      <c r="A97" s="8" t="s">
        <v>86</v>
      </c>
      <c r="B97" s="9" t="s">
        <v>118</v>
      </c>
      <c r="C97" s="9" t="s">
        <v>746</v>
      </c>
      <c r="D97" s="12" t="s">
        <v>1254</v>
      </c>
      <c r="E97" s="26" t="s">
        <v>20</v>
      </c>
      <c r="F97" s="25"/>
    </row>
    <row r="98" spans="1:6" x14ac:dyDescent="0.3">
      <c r="A98" s="8" t="s">
        <v>86</v>
      </c>
      <c r="B98" s="9" t="s">
        <v>392</v>
      </c>
      <c r="C98" s="9" t="s">
        <v>748</v>
      </c>
      <c r="D98" s="12" t="s">
        <v>1255</v>
      </c>
      <c r="E98" s="26" t="s">
        <v>20</v>
      </c>
      <c r="F98" s="25"/>
    </row>
    <row r="99" spans="1:6" x14ac:dyDescent="0.3">
      <c r="A99" s="8" t="s">
        <v>86</v>
      </c>
      <c r="B99" s="9" t="s">
        <v>392</v>
      </c>
      <c r="C99" s="9" t="s">
        <v>750</v>
      </c>
      <c r="D99" s="12" t="s">
        <v>751</v>
      </c>
      <c r="E99" s="26" t="s">
        <v>20</v>
      </c>
      <c r="F99" s="25"/>
    </row>
    <row r="100" spans="1:6" x14ac:dyDescent="0.3">
      <c r="A100" s="8" t="s">
        <v>86</v>
      </c>
      <c r="B100" s="9" t="s">
        <v>392</v>
      </c>
      <c r="C100" s="9" t="s">
        <v>171</v>
      </c>
      <c r="D100" s="12" t="s">
        <v>752</v>
      </c>
      <c r="E100" s="26" t="s">
        <v>20</v>
      </c>
      <c r="F100" s="25"/>
    </row>
    <row r="101" spans="1:6" x14ac:dyDescent="0.3">
      <c r="A101" s="8" t="s">
        <v>86</v>
      </c>
      <c r="B101" s="9" t="s">
        <v>392</v>
      </c>
      <c r="C101" s="9" t="s">
        <v>753</v>
      </c>
      <c r="D101" s="12" t="s">
        <v>754</v>
      </c>
      <c r="E101" s="26" t="s">
        <v>20</v>
      </c>
      <c r="F101" s="25"/>
    </row>
    <row r="102" spans="1:6" x14ac:dyDescent="0.3">
      <c r="A102" s="8" t="s">
        <v>86</v>
      </c>
      <c r="B102" s="9" t="s">
        <v>392</v>
      </c>
      <c r="C102" s="9" t="s">
        <v>174</v>
      </c>
      <c r="D102" s="12" t="s">
        <v>1256</v>
      </c>
      <c r="E102" s="26" t="s">
        <v>20</v>
      </c>
      <c r="F102" s="25"/>
    </row>
    <row r="103" spans="1:6" x14ac:dyDescent="0.3">
      <c r="A103" s="8" t="s">
        <v>86</v>
      </c>
      <c r="B103" s="9" t="s">
        <v>392</v>
      </c>
      <c r="C103" s="9" t="s">
        <v>698</v>
      </c>
      <c r="D103" s="12" t="s">
        <v>1257</v>
      </c>
      <c r="E103" s="26" t="s">
        <v>20</v>
      </c>
      <c r="F103" s="25"/>
    </row>
    <row r="104" spans="1:6" x14ac:dyDescent="0.3">
      <c r="A104" s="8" t="s">
        <v>86</v>
      </c>
      <c r="B104" s="9" t="s">
        <v>392</v>
      </c>
      <c r="C104" s="9" t="s">
        <v>508</v>
      </c>
      <c r="D104" s="12" t="s">
        <v>757</v>
      </c>
      <c r="E104" s="26" t="s">
        <v>20</v>
      </c>
      <c r="F104" s="25"/>
    </row>
    <row r="105" spans="1:6" ht="39.6" x14ac:dyDescent="0.3">
      <c r="A105" s="8" t="s">
        <v>86</v>
      </c>
      <c r="B105" s="9" t="s">
        <v>121</v>
      </c>
      <c r="C105" s="9" t="s">
        <v>171</v>
      </c>
      <c r="D105" s="12" t="s">
        <v>1258</v>
      </c>
      <c r="E105" s="26" t="s">
        <v>20</v>
      </c>
      <c r="F105" s="25"/>
    </row>
    <row r="106" spans="1:6" ht="26.4" x14ac:dyDescent="0.3">
      <c r="A106" s="8" t="s">
        <v>86</v>
      </c>
      <c r="B106" s="9" t="s">
        <v>1259</v>
      </c>
      <c r="C106" s="9" t="s">
        <v>171</v>
      </c>
      <c r="D106" s="12" t="s">
        <v>1260</v>
      </c>
      <c r="E106" s="26" t="s">
        <v>20</v>
      </c>
      <c r="F106" s="25"/>
    </row>
    <row r="107" spans="1:6" x14ac:dyDescent="0.3">
      <c r="A107" s="8" t="s">
        <v>86</v>
      </c>
      <c r="B107" s="9" t="s">
        <v>1174</v>
      </c>
      <c r="C107" s="9" t="s">
        <v>763</v>
      </c>
      <c r="D107" s="12" t="s">
        <v>764</v>
      </c>
      <c r="E107" s="26" t="s">
        <v>20</v>
      </c>
      <c r="F107" s="25"/>
    </row>
    <row r="108" spans="1:6" x14ac:dyDescent="0.3">
      <c r="A108" s="8" t="s">
        <v>86</v>
      </c>
      <c r="B108" s="9" t="s">
        <v>1174</v>
      </c>
      <c r="C108" s="9" t="s">
        <v>765</v>
      </c>
      <c r="D108" s="12" t="s">
        <v>766</v>
      </c>
      <c r="E108" s="26" t="s">
        <v>20</v>
      </c>
      <c r="F108" s="25"/>
    </row>
    <row r="109" spans="1:6" x14ac:dyDescent="0.3">
      <c r="A109" s="8" t="s">
        <v>86</v>
      </c>
      <c r="B109" s="9" t="s">
        <v>1174</v>
      </c>
      <c r="C109" s="9" t="s">
        <v>485</v>
      </c>
      <c r="D109" s="12" t="s">
        <v>1261</v>
      </c>
      <c r="E109" s="26" t="s">
        <v>20</v>
      </c>
      <c r="F109" s="25"/>
    </row>
    <row r="110" spans="1:6" x14ac:dyDescent="0.3">
      <c r="A110" s="8" t="s">
        <v>86</v>
      </c>
      <c r="B110" s="9" t="s">
        <v>1174</v>
      </c>
      <c r="C110" s="9" t="s">
        <v>768</v>
      </c>
      <c r="D110" s="12" t="s">
        <v>769</v>
      </c>
      <c r="E110" s="26" t="s">
        <v>20</v>
      </c>
      <c r="F110" s="25"/>
    </row>
    <row r="111" spans="1:6" x14ac:dyDescent="0.3">
      <c r="A111" s="27" t="s">
        <v>1262</v>
      </c>
      <c r="B111" s="28" t="s">
        <v>538</v>
      </c>
      <c r="C111" s="28" t="s">
        <v>1245</v>
      </c>
      <c r="D111" s="27" t="s">
        <v>1263</v>
      </c>
      <c r="E111" s="27" t="s">
        <v>20</v>
      </c>
      <c r="F111" s="29" t="s">
        <v>1241</v>
      </c>
    </row>
    <row r="113" spans="1:2" x14ac:dyDescent="0.3">
      <c r="A113" s="5" t="s">
        <v>1264</v>
      </c>
      <c r="B113" s="30" t="s">
        <v>1265</v>
      </c>
    </row>
  </sheetData>
  <autoFilter ref="A4:F110" xr:uid="{00000000-0009-0000-0000-000007000000}"/>
  <mergeCells count="1">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Dashboards</vt:lpstr>
      <vt:lpstr>Broken Reports</vt:lpstr>
      <vt:lpstr>Timeline Logic</vt:lpstr>
      <vt:lpstr>Report Fields</vt:lpstr>
      <vt:lpstr>Drill-downs</vt:lpstr>
      <vt:lpstr>Production Not-Connected</vt:lpstr>
      <vt:lpstr>To Verify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ArokiaRaj</cp:lastModifiedBy>
  <dcterms:created xsi:type="dcterms:W3CDTF">2026-09-23T06:03:53Z</dcterms:created>
  <dcterms:modified xsi:type="dcterms:W3CDTF">2026-09-24T07:46:03Z</dcterms:modified>
</cp:coreProperties>
</file>